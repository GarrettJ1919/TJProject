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garre\Downloads\"/>
    </mc:Choice>
  </mc:AlternateContent>
  <xr:revisionPtr revIDLastSave="0" documentId="11_52D779FE756616546214FD6DAC2A5BE905DB2F9C" xr6:coauthVersionLast="47" xr6:coauthVersionMax="47" xr10:uidLastSave="{00000000-0000-0000-0000-000000000000}"/>
  <bookViews>
    <workbookView xWindow="-110" yWindow="-110" windowWidth="19420" windowHeight="10300" firstSheet="1" activeTab="2" xr2:uid="{00000000-000D-0000-FFFF-FFFF00000000}"/>
  </bookViews>
  <sheets>
    <sheet name="MLB Pitchers 2018-2023 TJ" sheetId="1" r:id="rId1"/>
    <sheet name="Unmatched - Check Manually" sheetId="2" r:id="rId2"/>
    <sheet name="Innings-Weighted Summar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160" i="1" l="1"/>
  <c r="AC160" i="1" s="1"/>
  <c r="Y160" i="1"/>
  <c r="X160" i="1"/>
  <c r="W160" i="1"/>
  <c r="Z159" i="1"/>
  <c r="AC159" i="1" s="1"/>
  <c r="Y159" i="1"/>
  <c r="X159" i="1"/>
  <c r="W159" i="1"/>
  <c r="Z158" i="1"/>
  <c r="AC158" i="1" s="1"/>
  <c r="Y158" i="1"/>
  <c r="X158" i="1"/>
  <c r="W158" i="1"/>
  <c r="Z157" i="1"/>
  <c r="AB157" i="1" s="1"/>
  <c r="Y157" i="1"/>
  <c r="X157" i="1"/>
  <c r="W157" i="1"/>
  <c r="AB156" i="1"/>
  <c r="Z156" i="1"/>
  <c r="AA156" i="1" s="1"/>
  <c r="Y156" i="1"/>
  <c r="X156" i="1"/>
  <c r="W156" i="1"/>
  <c r="Z155" i="1"/>
  <c r="AC155" i="1" s="1"/>
  <c r="Y155" i="1"/>
  <c r="X155" i="1"/>
  <c r="W155" i="1"/>
  <c r="Z154" i="1"/>
  <c r="AC154" i="1" s="1"/>
  <c r="Y154" i="1"/>
  <c r="X154" i="1"/>
  <c r="W154" i="1"/>
  <c r="AB153" i="1"/>
  <c r="Z153" i="1"/>
  <c r="AC153" i="1" s="1"/>
  <c r="Y153" i="1"/>
  <c r="X153" i="1"/>
  <c r="W153" i="1"/>
  <c r="AB152" i="1"/>
  <c r="Z152" i="1"/>
  <c r="AC152" i="1" s="1"/>
  <c r="Y152" i="1"/>
  <c r="X152" i="1"/>
  <c r="W152" i="1"/>
  <c r="AA152" i="1" s="1"/>
  <c r="AB151" i="1"/>
  <c r="AA151" i="1"/>
  <c r="Z151" i="1"/>
  <c r="AC151" i="1" s="1"/>
  <c r="Y151" i="1"/>
  <c r="X151" i="1"/>
  <c r="W151" i="1"/>
  <c r="AC150" i="1"/>
  <c r="AB150" i="1"/>
  <c r="AA150" i="1"/>
  <c r="Z150" i="1"/>
  <c r="Y150" i="1"/>
  <c r="X150" i="1"/>
  <c r="W150" i="1"/>
  <c r="AC149" i="1"/>
  <c r="Z149" i="1"/>
  <c r="Y149" i="1"/>
  <c r="X149" i="1"/>
  <c r="AB149" i="1" s="1"/>
  <c r="W149" i="1"/>
  <c r="AA149" i="1" s="1"/>
  <c r="AC148" i="1"/>
  <c r="AA148" i="1"/>
  <c r="Z148" i="1"/>
  <c r="AB148" i="1" s="1"/>
  <c r="Y148" i="1"/>
  <c r="X148" i="1"/>
  <c r="W148" i="1"/>
  <c r="Z147" i="1"/>
  <c r="AC147" i="1" s="1"/>
  <c r="Y147" i="1"/>
  <c r="X147" i="1"/>
  <c r="W147" i="1"/>
  <c r="AC146" i="1"/>
  <c r="Z146" i="1"/>
  <c r="AB146" i="1" s="1"/>
  <c r="Y146" i="1"/>
  <c r="X146" i="1"/>
  <c r="W146" i="1"/>
  <c r="Z145" i="1"/>
  <c r="AB145" i="1" s="1"/>
  <c r="Y145" i="1"/>
  <c r="X145" i="1"/>
  <c r="W145" i="1"/>
  <c r="AB144" i="1"/>
  <c r="AA144" i="1"/>
  <c r="Z144" i="1"/>
  <c r="AC144" i="1" s="1"/>
  <c r="Y144" i="1"/>
  <c r="X144" i="1"/>
  <c r="W144" i="1"/>
  <c r="Z143" i="1"/>
  <c r="AC143" i="1" s="1"/>
  <c r="Y143" i="1"/>
  <c r="X143" i="1"/>
  <c r="W143" i="1"/>
  <c r="Z142" i="1"/>
  <c r="AC142" i="1" s="1"/>
  <c r="Y142" i="1"/>
  <c r="X142" i="1"/>
  <c r="W142" i="1"/>
  <c r="AB141" i="1"/>
  <c r="Z141" i="1"/>
  <c r="AC141" i="1" s="1"/>
  <c r="Y141" i="1"/>
  <c r="X141" i="1"/>
  <c r="W141" i="1"/>
  <c r="AB140" i="1"/>
  <c r="Z140" i="1"/>
  <c r="AC140" i="1" s="1"/>
  <c r="Y140" i="1"/>
  <c r="X140" i="1"/>
  <c r="W140" i="1"/>
  <c r="AA140" i="1" s="1"/>
  <c r="AA139" i="1"/>
  <c r="Z139" i="1"/>
  <c r="AC139" i="1" s="1"/>
  <c r="Y139" i="1"/>
  <c r="X139" i="1"/>
  <c r="W139" i="1"/>
  <c r="AC138" i="1"/>
  <c r="AB138" i="1"/>
  <c r="AA138" i="1"/>
  <c r="Z138" i="1"/>
  <c r="Y138" i="1"/>
  <c r="X138" i="1"/>
  <c r="W138" i="1"/>
  <c r="Z137" i="1"/>
  <c r="AA137" i="1" s="1"/>
  <c r="Y137" i="1"/>
  <c r="AC137" i="1" s="1"/>
  <c r="X137" i="1"/>
  <c r="AB137" i="1" s="1"/>
  <c r="W137" i="1"/>
  <c r="AC136" i="1"/>
  <c r="AA136" i="1"/>
  <c r="Z136" i="1"/>
  <c r="AB136" i="1" s="1"/>
  <c r="Y136" i="1"/>
  <c r="X136" i="1"/>
  <c r="W136" i="1"/>
  <c r="Z135" i="1"/>
  <c r="AC135" i="1" s="1"/>
  <c r="Y135" i="1"/>
  <c r="X135" i="1"/>
  <c r="W135" i="1"/>
  <c r="AC134" i="1"/>
  <c r="Z134" i="1"/>
  <c r="AB134" i="1" s="1"/>
  <c r="Y134" i="1"/>
  <c r="X134" i="1"/>
  <c r="W134" i="1"/>
  <c r="Z133" i="1"/>
  <c r="AB133" i="1" s="1"/>
  <c r="Y133" i="1"/>
  <c r="X133" i="1"/>
  <c r="W133" i="1"/>
  <c r="AB132" i="1"/>
  <c r="Z132" i="1"/>
  <c r="AC132" i="1" s="1"/>
  <c r="Y132" i="1"/>
  <c r="X132" i="1"/>
  <c r="W132" i="1"/>
  <c r="AA132" i="1" s="1"/>
  <c r="Z131" i="1"/>
  <c r="AC131" i="1" s="1"/>
  <c r="Y131" i="1"/>
  <c r="X131" i="1"/>
  <c r="W131" i="1"/>
  <c r="Z130" i="1"/>
  <c r="AC130" i="1" s="1"/>
  <c r="Y130" i="1"/>
  <c r="X130" i="1"/>
  <c r="W130" i="1"/>
  <c r="AB129" i="1"/>
  <c r="Z129" i="1"/>
  <c r="AC129" i="1" s="1"/>
  <c r="Y129" i="1"/>
  <c r="X129" i="1"/>
  <c r="W129" i="1"/>
  <c r="AB128" i="1"/>
  <c r="Z128" i="1"/>
  <c r="AC128" i="1" s="1"/>
  <c r="Y128" i="1"/>
  <c r="X128" i="1"/>
  <c r="W128" i="1"/>
  <c r="AA128" i="1" s="1"/>
  <c r="AA127" i="1"/>
  <c r="Z127" i="1"/>
  <c r="AC127" i="1" s="1"/>
  <c r="Y127" i="1"/>
  <c r="X127" i="1"/>
  <c r="W127" i="1"/>
  <c r="Z126" i="1"/>
  <c r="AC126" i="1" s="1"/>
  <c r="Y126" i="1"/>
  <c r="X126" i="1"/>
  <c r="W126" i="1"/>
  <c r="AC125" i="1"/>
  <c r="AB125" i="1"/>
  <c r="Z125" i="1"/>
  <c r="AA125" i="1" s="1"/>
  <c r="Y125" i="1"/>
  <c r="X125" i="1"/>
  <c r="W125" i="1"/>
  <c r="AC124" i="1"/>
  <c r="AB124" i="1"/>
  <c r="AA124" i="1"/>
  <c r="Z124" i="1"/>
  <c r="Y124" i="1"/>
  <c r="X124" i="1"/>
  <c r="W124" i="1"/>
  <c r="Z123" i="1"/>
  <c r="AC123" i="1" s="1"/>
  <c r="Y123" i="1"/>
  <c r="X123" i="1"/>
  <c r="W123" i="1"/>
  <c r="AC122" i="1"/>
  <c r="Z122" i="1"/>
  <c r="AB122" i="1" s="1"/>
  <c r="Y122" i="1"/>
  <c r="X122" i="1"/>
  <c r="W122" i="1"/>
  <c r="Z121" i="1"/>
  <c r="AB121" i="1" s="1"/>
  <c r="Y121" i="1"/>
  <c r="X121" i="1"/>
  <c r="W121" i="1"/>
  <c r="AC120" i="1"/>
  <c r="AB120" i="1"/>
  <c r="AA120" i="1"/>
  <c r="Z120" i="1"/>
  <c r="Y120" i="1"/>
  <c r="X120" i="1"/>
  <c r="W120" i="1"/>
  <c r="Z119" i="1"/>
  <c r="AA119" i="1" s="1"/>
  <c r="Y119" i="1"/>
  <c r="X119" i="1"/>
  <c r="W119" i="1"/>
  <c r="Z118" i="1"/>
  <c r="AC118" i="1" s="1"/>
  <c r="Y118" i="1"/>
  <c r="X118" i="1"/>
  <c r="W118" i="1"/>
  <c r="AC117" i="1"/>
  <c r="AB117" i="1"/>
  <c r="Z117" i="1"/>
  <c r="AA117" i="1" s="1"/>
  <c r="Y117" i="1"/>
  <c r="X117" i="1"/>
  <c r="W117" i="1"/>
  <c r="Z116" i="1"/>
  <c r="AC116" i="1" s="1"/>
  <c r="Y116" i="1"/>
  <c r="X116" i="1"/>
  <c r="AB116" i="1" s="1"/>
  <c r="W116" i="1"/>
  <c r="AA116" i="1" s="1"/>
  <c r="AA115" i="1"/>
  <c r="Z115" i="1"/>
  <c r="AC115" i="1" s="1"/>
  <c r="Y115" i="1"/>
  <c r="X115" i="1"/>
  <c r="W115" i="1"/>
  <c r="Z114" i="1"/>
  <c r="AC114" i="1" s="1"/>
  <c r="Y114" i="1"/>
  <c r="X114" i="1"/>
  <c r="W114" i="1"/>
  <c r="AC113" i="1"/>
  <c r="Z113" i="1"/>
  <c r="AA113" i="1" s="1"/>
  <c r="Y113" i="1"/>
  <c r="X113" i="1"/>
  <c r="AB113" i="1" s="1"/>
  <c r="W113" i="1"/>
  <c r="AC112" i="1"/>
  <c r="AB112" i="1"/>
  <c r="AA112" i="1"/>
  <c r="Z112" i="1"/>
  <c r="Y112" i="1"/>
  <c r="X112" i="1"/>
  <c r="W112" i="1"/>
  <c r="Z111" i="1"/>
  <c r="AC111" i="1" s="1"/>
  <c r="Y111" i="1"/>
  <c r="X111" i="1"/>
  <c r="W111" i="1"/>
  <c r="AC110" i="1"/>
  <c r="Z110" i="1"/>
  <c r="AB110" i="1" s="1"/>
  <c r="Y110" i="1"/>
  <c r="X110" i="1"/>
  <c r="W110" i="1"/>
  <c r="Z109" i="1"/>
  <c r="AB109" i="1" s="1"/>
  <c r="Y109" i="1"/>
  <c r="X109" i="1"/>
  <c r="W109" i="1"/>
  <c r="AB108" i="1"/>
  <c r="Z108" i="1"/>
  <c r="Y108" i="1"/>
  <c r="AC108" i="1" s="1"/>
  <c r="X108" i="1"/>
  <c r="W108" i="1"/>
  <c r="AA108" i="1" s="1"/>
  <c r="Z107" i="1"/>
  <c r="AC107" i="1" s="1"/>
  <c r="Y107" i="1"/>
  <c r="X107" i="1"/>
  <c r="W107" i="1"/>
  <c r="Z106" i="1"/>
  <c r="AC106" i="1" s="1"/>
  <c r="Y106" i="1"/>
  <c r="X106" i="1"/>
  <c r="W106" i="1"/>
  <c r="AC105" i="1"/>
  <c r="AB105" i="1"/>
  <c r="Z105" i="1"/>
  <c r="AA105" i="1" s="1"/>
  <c r="Y105" i="1"/>
  <c r="X105" i="1"/>
  <c r="W105" i="1"/>
  <c r="AB104" i="1"/>
  <c r="AA104" i="1"/>
  <c r="Z104" i="1"/>
  <c r="AC104" i="1" s="1"/>
  <c r="Y104" i="1"/>
  <c r="X104" i="1"/>
  <c r="W104" i="1"/>
  <c r="AA103" i="1"/>
  <c r="Z103" i="1"/>
  <c r="AC103" i="1" s="1"/>
  <c r="Y103" i="1"/>
  <c r="X103" i="1"/>
  <c r="W103" i="1"/>
  <c r="Z102" i="1"/>
  <c r="AC102" i="1" s="1"/>
  <c r="Y102" i="1"/>
  <c r="X102" i="1"/>
  <c r="W102" i="1"/>
  <c r="AC101" i="1"/>
  <c r="Z101" i="1"/>
  <c r="AA101" i="1" s="1"/>
  <c r="Y101" i="1"/>
  <c r="X101" i="1"/>
  <c r="AB101" i="1" s="1"/>
  <c r="W101" i="1"/>
  <c r="AC100" i="1"/>
  <c r="AB100" i="1"/>
  <c r="AA100" i="1"/>
  <c r="Z100" i="1"/>
  <c r="Y100" i="1"/>
  <c r="X100" i="1"/>
  <c r="W100" i="1"/>
  <c r="Z99" i="1"/>
  <c r="AC99" i="1" s="1"/>
  <c r="Y99" i="1"/>
  <c r="X99" i="1"/>
  <c r="W99" i="1"/>
  <c r="AC98" i="1"/>
  <c r="Z98" i="1"/>
  <c r="AB98" i="1" s="1"/>
  <c r="Y98" i="1"/>
  <c r="X98" i="1"/>
  <c r="W98" i="1"/>
  <c r="Z97" i="1"/>
  <c r="AB97" i="1" s="1"/>
  <c r="Y97" i="1"/>
  <c r="X97" i="1"/>
  <c r="W97" i="1"/>
  <c r="AB96" i="1"/>
  <c r="Z96" i="1"/>
  <c r="AC96" i="1" s="1"/>
  <c r="Y96" i="1"/>
  <c r="X96" i="1"/>
  <c r="W96" i="1"/>
  <c r="AA96" i="1" s="1"/>
  <c r="Z95" i="1"/>
  <c r="AB95" i="1" s="1"/>
  <c r="Y95" i="1"/>
  <c r="X95" i="1"/>
  <c r="W95" i="1"/>
  <c r="Z94" i="1"/>
  <c r="AC94" i="1" s="1"/>
  <c r="Y94" i="1"/>
  <c r="X94" i="1"/>
  <c r="W94" i="1"/>
  <c r="AC93" i="1"/>
  <c r="AB93" i="1"/>
  <c r="Z93" i="1"/>
  <c r="AA93" i="1" s="1"/>
  <c r="Y93" i="1"/>
  <c r="X93" i="1"/>
  <c r="W93" i="1"/>
  <c r="AB92" i="1"/>
  <c r="AA92" i="1"/>
  <c r="Z92" i="1"/>
  <c r="AC92" i="1" s="1"/>
  <c r="Y92" i="1"/>
  <c r="X92" i="1"/>
  <c r="W92" i="1"/>
  <c r="AA91" i="1"/>
  <c r="Z91" i="1"/>
  <c r="AC91" i="1" s="1"/>
  <c r="Y91" i="1"/>
  <c r="X91" i="1"/>
  <c r="W91" i="1"/>
  <c r="Z90" i="1"/>
  <c r="AA90" i="1" s="1"/>
  <c r="Y90" i="1"/>
  <c r="X90" i="1"/>
  <c r="W90" i="1"/>
  <c r="AC89" i="1"/>
  <c r="AB89" i="1"/>
  <c r="Z89" i="1"/>
  <c r="AA89" i="1" s="1"/>
  <c r="Y89" i="1"/>
  <c r="X89" i="1"/>
  <c r="W89" i="1"/>
  <c r="AC88" i="1"/>
  <c r="AB88" i="1"/>
  <c r="AA88" i="1"/>
  <c r="Z88" i="1"/>
  <c r="Y88" i="1"/>
  <c r="X88" i="1"/>
  <c r="W88" i="1"/>
  <c r="Z87" i="1"/>
  <c r="AC87" i="1" s="1"/>
  <c r="Y87" i="1"/>
  <c r="X87" i="1"/>
  <c r="W87" i="1"/>
  <c r="AC86" i="1"/>
  <c r="Z86" i="1"/>
  <c r="AB86" i="1" s="1"/>
  <c r="Y86" i="1"/>
  <c r="X86" i="1"/>
  <c r="W86" i="1"/>
  <c r="Z85" i="1"/>
  <c r="AB85" i="1" s="1"/>
  <c r="Y85" i="1"/>
  <c r="X85" i="1"/>
  <c r="W85" i="1"/>
  <c r="AB84" i="1"/>
  <c r="Z84" i="1"/>
  <c r="AC84" i="1" s="1"/>
  <c r="Y84" i="1"/>
  <c r="X84" i="1"/>
  <c r="W84" i="1"/>
  <c r="AA84" i="1" s="1"/>
  <c r="Z83" i="1"/>
  <c r="AA83" i="1" s="1"/>
  <c r="Y83" i="1"/>
  <c r="X83" i="1"/>
  <c r="W83" i="1"/>
  <c r="Z82" i="1"/>
  <c r="AC82" i="1" s="1"/>
  <c r="Y82" i="1"/>
  <c r="X82" i="1"/>
  <c r="W82" i="1"/>
  <c r="AC81" i="1"/>
  <c r="AB81" i="1"/>
  <c r="Z81" i="1"/>
  <c r="AA81" i="1" s="1"/>
  <c r="Y81" i="1"/>
  <c r="X81" i="1"/>
  <c r="W81" i="1"/>
  <c r="Z80" i="1"/>
  <c r="AC80" i="1" s="1"/>
  <c r="Y80" i="1"/>
  <c r="X80" i="1"/>
  <c r="AB80" i="1" s="1"/>
  <c r="W80" i="1"/>
  <c r="AA80" i="1" s="1"/>
  <c r="AA79" i="1"/>
  <c r="Z79" i="1"/>
  <c r="AC79" i="1" s="1"/>
  <c r="Y79" i="1"/>
  <c r="X79" i="1"/>
  <c r="W79" i="1"/>
  <c r="Z78" i="1"/>
  <c r="AC78" i="1" s="1"/>
  <c r="Y78" i="1"/>
  <c r="X78" i="1"/>
  <c r="W78" i="1"/>
  <c r="AC77" i="1"/>
  <c r="Z77" i="1"/>
  <c r="AA77" i="1" s="1"/>
  <c r="Y77" i="1"/>
  <c r="X77" i="1"/>
  <c r="AB77" i="1" s="1"/>
  <c r="W77" i="1"/>
  <c r="AC76" i="1"/>
  <c r="AB76" i="1"/>
  <c r="AA76" i="1"/>
  <c r="Z76" i="1"/>
  <c r="Y76" i="1"/>
  <c r="X76" i="1"/>
  <c r="W76" i="1"/>
  <c r="Z75" i="1"/>
  <c r="AC75" i="1" s="1"/>
  <c r="Y75" i="1"/>
  <c r="X75" i="1"/>
  <c r="W75" i="1"/>
  <c r="AC74" i="1"/>
  <c r="Z74" i="1"/>
  <c r="AB74" i="1" s="1"/>
  <c r="Y74" i="1"/>
  <c r="X74" i="1"/>
  <c r="W74" i="1"/>
  <c r="Z73" i="1"/>
  <c r="AC73" i="1" s="1"/>
  <c r="Y73" i="1"/>
  <c r="X73" i="1"/>
  <c r="W73" i="1"/>
  <c r="AC72" i="1"/>
  <c r="AB72" i="1"/>
  <c r="AA72" i="1"/>
  <c r="Z72" i="1"/>
  <c r="Y72" i="1"/>
  <c r="X72" i="1"/>
  <c r="W72" i="1"/>
  <c r="Z71" i="1"/>
  <c r="AB71" i="1" s="1"/>
  <c r="Y71" i="1"/>
  <c r="X71" i="1"/>
  <c r="W71" i="1"/>
  <c r="Z70" i="1"/>
  <c r="AC70" i="1" s="1"/>
  <c r="Y70" i="1"/>
  <c r="X70" i="1"/>
  <c r="W70" i="1"/>
  <c r="AC69" i="1"/>
  <c r="AB69" i="1"/>
  <c r="Z69" i="1"/>
  <c r="AA69" i="1" s="1"/>
  <c r="Y69" i="1"/>
  <c r="X69" i="1"/>
  <c r="W69" i="1"/>
  <c r="Z68" i="1"/>
  <c r="AC68" i="1" s="1"/>
  <c r="Y68" i="1"/>
  <c r="X68" i="1"/>
  <c r="AB68" i="1" s="1"/>
  <c r="W68" i="1"/>
  <c r="AA68" i="1" s="1"/>
  <c r="AA67" i="1"/>
  <c r="Z67" i="1"/>
  <c r="AC67" i="1" s="1"/>
  <c r="Y67" i="1"/>
  <c r="X67" i="1"/>
  <c r="W67" i="1"/>
  <c r="Z66" i="1"/>
  <c r="AB66" i="1" s="1"/>
  <c r="Y66" i="1"/>
  <c r="X66" i="1"/>
  <c r="W66" i="1"/>
  <c r="AC65" i="1"/>
  <c r="Z65" i="1"/>
  <c r="AA65" i="1" s="1"/>
  <c r="Y65" i="1"/>
  <c r="X65" i="1"/>
  <c r="AB65" i="1" s="1"/>
  <c r="W65" i="1"/>
  <c r="AC64" i="1"/>
  <c r="AB64" i="1"/>
  <c r="AA64" i="1"/>
  <c r="Z64" i="1"/>
  <c r="Y64" i="1"/>
  <c r="X64" i="1"/>
  <c r="W64" i="1"/>
  <c r="Z63" i="1"/>
  <c r="AC63" i="1" s="1"/>
  <c r="Y63" i="1"/>
  <c r="X63" i="1"/>
  <c r="W63" i="1"/>
  <c r="AC62" i="1"/>
  <c r="Z62" i="1"/>
  <c r="AB62" i="1" s="1"/>
  <c r="Y62" i="1"/>
  <c r="X62" i="1"/>
  <c r="W62" i="1"/>
  <c r="Z61" i="1"/>
  <c r="AB61" i="1" s="1"/>
  <c r="Y61" i="1"/>
  <c r="X61" i="1"/>
  <c r="W61" i="1"/>
  <c r="AB60" i="1"/>
  <c r="Z60" i="1"/>
  <c r="Y60" i="1"/>
  <c r="AC60" i="1" s="1"/>
  <c r="X60" i="1"/>
  <c r="W60" i="1"/>
  <c r="AA60" i="1" s="1"/>
  <c r="Z59" i="1"/>
  <c r="AA59" i="1" s="1"/>
  <c r="Y59" i="1"/>
  <c r="X59" i="1"/>
  <c r="W59" i="1"/>
  <c r="Z58" i="1"/>
  <c r="AB58" i="1" s="1"/>
  <c r="Y58" i="1"/>
  <c r="AC58" i="1" s="1"/>
  <c r="X58" i="1"/>
  <c r="W58" i="1"/>
  <c r="AC57" i="1"/>
  <c r="AB57" i="1"/>
  <c r="Z57" i="1"/>
  <c r="AA57" i="1" s="1"/>
  <c r="Y57" i="1"/>
  <c r="X57" i="1"/>
  <c r="W57" i="1"/>
  <c r="Z56" i="1"/>
  <c r="AC56" i="1" s="1"/>
  <c r="Y56" i="1"/>
  <c r="X56" i="1"/>
  <c r="AB56" i="1" s="1"/>
  <c r="W56" i="1"/>
  <c r="AA56" i="1" s="1"/>
  <c r="AA55" i="1"/>
  <c r="Z55" i="1"/>
  <c r="AC55" i="1" s="1"/>
  <c r="Y55" i="1"/>
  <c r="X55" i="1"/>
  <c r="W55" i="1"/>
  <c r="Z54" i="1"/>
  <c r="AC54" i="1" s="1"/>
  <c r="Y54" i="1"/>
  <c r="X54" i="1"/>
  <c r="W54" i="1"/>
  <c r="AC53" i="1"/>
  <c r="Z53" i="1"/>
  <c r="AA53" i="1" s="1"/>
  <c r="Y53" i="1"/>
  <c r="X53" i="1"/>
  <c r="AB53" i="1" s="1"/>
  <c r="W53" i="1"/>
  <c r="AC52" i="1"/>
  <c r="AB52" i="1"/>
  <c r="AA52" i="1"/>
  <c r="Z52" i="1"/>
  <c r="Y52" i="1"/>
  <c r="X52" i="1"/>
  <c r="W52" i="1"/>
  <c r="Z51" i="1"/>
  <c r="AC51" i="1" s="1"/>
  <c r="Y51" i="1"/>
  <c r="X51" i="1"/>
  <c r="W51" i="1"/>
  <c r="AC50" i="1"/>
  <c r="Z50" i="1"/>
  <c r="AB50" i="1" s="1"/>
  <c r="Y50" i="1"/>
  <c r="X50" i="1"/>
  <c r="W50" i="1"/>
  <c r="Z49" i="1"/>
  <c r="AB49" i="1" s="1"/>
  <c r="Y49" i="1"/>
  <c r="X49" i="1"/>
  <c r="W49" i="1"/>
  <c r="AB48" i="1"/>
  <c r="Z48" i="1"/>
  <c r="Y48" i="1"/>
  <c r="AC48" i="1" s="1"/>
  <c r="X48" i="1"/>
  <c r="W48" i="1"/>
  <c r="AA48" i="1" s="1"/>
  <c r="Z47" i="1"/>
  <c r="AA47" i="1" s="1"/>
  <c r="Y47" i="1"/>
  <c r="X47" i="1"/>
  <c r="W47" i="1"/>
  <c r="Z46" i="1"/>
  <c r="AC46" i="1" s="1"/>
  <c r="Y46" i="1"/>
  <c r="X46" i="1"/>
  <c r="W46" i="1"/>
  <c r="AC45" i="1"/>
  <c r="AB45" i="1"/>
  <c r="Z45" i="1"/>
  <c r="AA45" i="1" s="1"/>
  <c r="Y45" i="1"/>
  <c r="X45" i="1"/>
  <c r="W45" i="1"/>
  <c r="AB44" i="1"/>
  <c r="AA44" i="1"/>
  <c r="Z44" i="1"/>
  <c r="AC44" i="1" s="1"/>
  <c r="Y44" i="1"/>
  <c r="X44" i="1"/>
  <c r="W44" i="1"/>
  <c r="AA43" i="1"/>
  <c r="Z43" i="1"/>
  <c r="AC43" i="1" s="1"/>
  <c r="Y43" i="1"/>
  <c r="X43" i="1"/>
  <c r="W43" i="1"/>
  <c r="Z42" i="1"/>
  <c r="AC42" i="1" s="1"/>
  <c r="Y42" i="1"/>
  <c r="X42" i="1"/>
  <c r="W42" i="1"/>
  <c r="AC41" i="1"/>
  <c r="AB41" i="1"/>
  <c r="Z41" i="1"/>
  <c r="AA41" i="1" s="1"/>
  <c r="Y41" i="1"/>
  <c r="X41" i="1"/>
  <c r="W41" i="1"/>
  <c r="AC40" i="1"/>
  <c r="AB40" i="1"/>
  <c r="AA40" i="1"/>
  <c r="Z40" i="1"/>
  <c r="Y40" i="1"/>
  <c r="X40" i="1"/>
  <c r="W40" i="1"/>
  <c r="Z39" i="1"/>
  <c r="AC39" i="1" s="1"/>
  <c r="Y39" i="1"/>
  <c r="X39" i="1"/>
  <c r="W39" i="1"/>
  <c r="AC38" i="1"/>
  <c r="Z38" i="1"/>
  <c r="AB38" i="1" s="1"/>
  <c r="Y38" i="1"/>
  <c r="X38" i="1"/>
  <c r="W38" i="1"/>
  <c r="Z37" i="1"/>
  <c r="AC37" i="1" s="1"/>
  <c r="Y37" i="1"/>
  <c r="X37" i="1"/>
  <c r="W37" i="1"/>
  <c r="AC36" i="1"/>
  <c r="AB36" i="1"/>
  <c r="Z36" i="1"/>
  <c r="Y36" i="1"/>
  <c r="X36" i="1"/>
  <c r="W36" i="1"/>
  <c r="AA36" i="1" s="1"/>
  <c r="Z35" i="1"/>
  <c r="AC35" i="1" s="1"/>
  <c r="Y35" i="1"/>
  <c r="X35" i="1"/>
  <c r="W35" i="1"/>
  <c r="Z34" i="1"/>
  <c r="AC34" i="1" s="1"/>
  <c r="Y34" i="1"/>
  <c r="X34" i="1"/>
  <c r="W34" i="1"/>
  <c r="AC33" i="1"/>
  <c r="AB33" i="1"/>
  <c r="Z33" i="1"/>
  <c r="AA33" i="1" s="1"/>
  <c r="Y33" i="1"/>
  <c r="X33" i="1"/>
  <c r="W33" i="1"/>
  <c r="Z32" i="1"/>
  <c r="AC32" i="1" s="1"/>
  <c r="Y32" i="1"/>
  <c r="X32" i="1"/>
  <c r="AB32" i="1" s="1"/>
  <c r="W32" i="1"/>
  <c r="AA32" i="1" s="1"/>
  <c r="AA31" i="1"/>
  <c r="Z31" i="1"/>
  <c r="AC31" i="1" s="1"/>
  <c r="Y31" i="1"/>
  <c r="X31" i="1"/>
  <c r="W31" i="1"/>
  <c r="Z30" i="1"/>
  <c r="AA30" i="1" s="1"/>
  <c r="Y30" i="1"/>
  <c r="X30" i="1"/>
  <c r="W30" i="1"/>
  <c r="AC29" i="1"/>
  <c r="Z29" i="1"/>
  <c r="AA29" i="1" s="1"/>
  <c r="Y29" i="1"/>
  <c r="X29" i="1"/>
  <c r="AB29" i="1" s="1"/>
  <c r="W29" i="1"/>
  <c r="AC28" i="1"/>
  <c r="AB28" i="1"/>
  <c r="AA28" i="1"/>
  <c r="Z28" i="1"/>
  <c r="Y28" i="1"/>
  <c r="X28" i="1"/>
  <c r="W28" i="1"/>
  <c r="Z27" i="1"/>
  <c r="AC27" i="1" s="1"/>
  <c r="Y27" i="1"/>
  <c r="X27" i="1"/>
  <c r="W27" i="1"/>
  <c r="AC26" i="1"/>
  <c r="Z26" i="1"/>
  <c r="AB26" i="1" s="1"/>
  <c r="Y26" i="1"/>
  <c r="X26" i="1"/>
  <c r="W26" i="1"/>
  <c r="Z25" i="1"/>
  <c r="AB25" i="1" s="1"/>
  <c r="Y25" i="1"/>
  <c r="X25" i="1"/>
  <c r="W25" i="1"/>
  <c r="AC24" i="1"/>
  <c r="AB24" i="1"/>
  <c r="Z24" i="1"/>
  <c r="Y24" i="1"/>
  <c r="X24" i="1"/>
  <c r="W24" i="1"/>
  <c r="AA24" i="1" s="1"/>
  <c r="Z23" i="1"/>
  <c r="AA23" i="1" s="1"/>
  <c r="Y23" i="1"/>
  <c r="X23" i="1"/>
  <c r="W23" i="1"/>
  <c r="Z22" i="1"/>
  <c r="AC22" i="1" s="1"/>
  <c r="Y22" i="1"/>
  <c r="X22" i="1"/>
  <c r="W22" i="1"/>
  <c r="AC21" i="1"/>
  <c r="AB21" i="1"/>
  <c r="Z21" i="1"/>
  <c r="AA21" i="1" s="1"/>
  <c r="Y21" i="1"/>
  <c r="X21" i="1"/>
  <c r="W21" i="1"/>
  <c r="Z20" i="1"/>
  <c r="AC20" i="1" s="1"/>
  <c r="Y20" i="1"/>
  <c r="X20" i="1"/>
  <c r="AB20" i="1" s="1"/>
  <c r="W20" i="1"/>
  <c r="AA20" i="1" s="1"/>
  <c r="AA19" i="1"/>
  <c r="Z19" i="1"/>
  <c r="AC19" i="1" s="1"/>
  <c r="Y19" i="1"/>
  <c r="X19" i="1"/>
  <c r="W19" i="1"/>
  <c r="Z18" i="1"/>
  <c r="AC18" i="1" s="1"/>
  <c r="Y18" i="1"/>
  <c r="X18" i="1"/>
  <c r="W18" i="1"/>
  <c r="AC17" i="1"/>
  <c r="Z17" i="1"/>
  <c r="AA17" i="1" s="1"/>
  <c r="Y17" i="1"/>
  <c r="X17" i="1"/>
  <c r="AB17" i="1" s="1"/>
  <c r="W17" i="1"/>
  <c r="AC16" i="1"/>
  <c r="AB16" i="1"/>
  <c r="AA16" i="1"/>
  <c r="Z16" i="1"/>
  <c r="Y16" i="1"/>
  <c r="X16" i="1"/>
  <c r="W16" i="1"/>
  <c r="Z15" i="1"/>
  <c r="AC15" i="1" s="1"/>
  <c r="Y15" i="1"/>
  <c r="X15" i="1"/>
  <c r="W15" i="1"/>
  <c r="AC14" i="1"/>
  <c r="Z14" i="1"/>
  <c r="AB14" i="1" s="1"/>
  <c r="Y14" i="1"/>
  <c r="X14" i="1"/>
  <c r="W14" i="1"/>
  <c r="Z13" i="1"/>
  <c r="AB13" i="1" s="1"/>
  <c r="Y13" i="1"/>
  <c r="X13" i="1"/>
  <c r="W13" i="1"/>
  <c r="AB12" i="1"/>
  <c r="Z12" i="1"/>
  <c r="AC12" i="1" s="1"/>
  <c r="Y12" i="1"/>
  <c r="X12" i="1"/>
  <c r="W12" i="1"/>
  <c r="AA12" i="1" s="1"/>
  <c r="Z11" i="1"/>
  <c r="AB11" i="1" s="1"/>
  <c r="Y11" i="1"/>
  <c r="X11" i="1"/>
  <c r="W11" i="1"/>
  <c r="Z10" i="1"/>
  <c r="AC10" i="1" s="1"/>
  <c r="Y10" i="1"/>
  <c r="X10" i="1"/>
  <c r="W10" i="1"/>
  <c r="AC9" i="1"/>
  <c r="AB9" i="1"/>
  <c r="Z9" i="1"/>
  <c r="AA9" i="1" s="1"/>
  <c r="Y9" i="1"/>
  <c r="X9" i="1"/>
  <c r="W9" i="1"/>
  <c r="Z8" i="1"/>
  <c r="AC8" i="1" s="1"/>
  <c r="Y8" i="1"/>
  <c r="X8" i="1"/>
  <c r="AB8" i="1" s="1"/>
  <c r="W8" i="1"/>
  <c r="AA8" i="1" s="1"/>
  <c r="Z7" i="1"/>
  <c r="AA7" i="1" s="1"/>
  <c r="Y7" i="1"/>
  <c r="X7" i="1"/>
  <c r="W7" i="1"/>
  <c r="Z6" i="1"/>
  <c r="AA6" i="1" s="1"/>
  <c r="Y6" i="1"/>
  <c r="X6" i="1"/>
  <c r="W6" i="1"/>
  <c r="AC5" i="1"/>
  <c r="Z5" i="1"/>
  <c r="AA5" i="1" s="1"/>
  <c r="Y5" i="1"/>
  <c r="X5" i="1"/>
  <c r="AB5" i="1" s="1"/>
  <c r="W5" i="1"/>
  <c r="AC4" i="1"/>
  <c r="AB4" i="1"/>
  <c r="AA4" i="1"/>
  <c r="Z4" i="1"/>
  <c r="Y4" i="1"/>
  <c r="X4" i="1"/>
  <c r="W4" i="1"/>
  <c r="Z3" i="1"/>
  <c r="AC3" i="1" s="1"/>
  <c r="Y3" i="1"/>
  <c r="X3" i="1"/>
  <c r="W3" i="1"/>
  <c r="AC2" i="1"/>
  <c r="Z2" i="1"/>
  <c r="B11" i="3" s="1"/>
  <c r="Y2" i="1"/>
  <c r="B4" i="3" s="1"/>
  <c r="X2" i="1"/>
  <c r="B3" i="3" s="1"/>
  <c r="W2" i="1"/>
  <c r="B2" i="3" s="1"/>
  <c r="AA107" i="1" l="1"/>
  <c r="AA54" i="1"/>
  <c r="AB59" i="1"/>
  <c r="AA66" i="1"/>
  <c r="AB107" i="1"/>
  <c r="AC66" i="1"/>
  <c r="AB73" i="1"/>
  <c r="AC90" i="1"/>
  <c r="AA2" i="1"/>
  <c r="AA14" i="1"/>
  <c r="AB19" i="1"/>
  <c r="AA26" i="1"/>
  <c r="AB31" i="1"/>
  <c r="AA38" i="1"/>
  <c r="AB43" i="1"/>
  <c r="AA50" i="1"/>
  <c r="AB55" i="1"/>
  <c r="AA62" i="1"/>
  <c r="AB67" i="1"/>
  <c r="AA74" i="1"/>
  <c r="AB79" i="1"/>
  <c r="AA86" i="1"/>
  <c r="AB91" i="1"/>
  <c r="AA98" i="1"/>
  <c r="AB103" i="1"/>
  <c r="AA110" i="1"/>
  <c r="AB115" i="1"/>
  <c r="AA122" i="1"/>
  <c r="AB127" i="1"/>
  <c r="AA134" i="1"/>
  <c r="AB139" i="1"/>
  <c r="AA146" i="1"/>
  <c r="AC156" i="1"/>
  <c r="AA158" i="1"/>
  <c r="AA11" i="1"/>
  <c r="AA18" i="1"/>
  <c r="AB23" i="1"/>
  <c r="AB35" i="1"/>
  <c r="AA42" i="1"/>
  <c r="AA78" i="1"/>
  <c r="AC6" i="1"/>
  <c r="C4" i="3" s="1"/>
  <c r="AC30" i="1"/>
  <c r="AB37" i="1"/>
  <c r="AB7" i="1"/>
  <c r="AB2" i="1"/>
  <c r="AC7" i="1"/>
  <c r="AA129" i="1"/>
  <c r="AA141" i="1"/>
  <c r="AA153" i="1"/>
  <c r="AB158" i="1"/>
  <c r="AA160" i="1"/>
  <c r="AA131" i="1"/>
  <c r="AA143" i="1"/>
  <c r="AA155" i="1"/>
  <c r="AB160" i="1"/>
  <c r="AA35" i="1"/>
  <c r="AA95" i="1"/>
  <c r="AB119" i="1"/>
  <c r="AA126" i="1"/>
  <c r="AB131" i="1"/>
  <c r="AB143" i="1"/>
  <c r="AB155" i="1"/>
  <c r="AB6" i="1"/>
  <c r="AC11" i="1"/>
  <c r="AA13" i="1"/>
  <c r="AB18" i="1"/>
  <c r="AC23" i="1"/>
  <c r="AA25" i="1"/>
  <c r="AB30" i="1"/>
  <c r="AA37" i="1"/>
  <c r="AB42" i="1"/>
  <c r="AC47" i="1"/>
  <c r="AA49" i="1"/>
  <c r="AB54" i="1"/>
  <c r="AC59" i="1"/>
  <c r="AA61" i="1"/>
  <c r="AC71" i="1"/>
  <c r="AA73" i="1"/>
  <c r="AB78" i="1"/>
  <c r="AC83" i="1"/>
  <c r="AA85" i="1"/>
  <c r="AB90" i="1"/>
  <c r="AC95" i="1"/>
  <c r="AA97" i="1"/>
  <c r="AB102" i="1"/>
  <c r="AA109" i="1"/>
  <c r="AB114" i="1"/>
  <c r="AC119" i="1"/>
  <c r="AA121" i="1"/>
  <c r="AB126" i="1"/>
  <c r="AA133" i="1"/>
  <c r="AA145" i="1"/>
  <c r="AA157" i="1"/>
  <c r="AB47" i="1"/>
  <c r="AC13" i="1"/>
  <c r="AA15" i="1"/>
  <c r="AC25" i="1"/>
  <c r="AA27" i="1"/>
  <c r="AA39" i="1"/>
  <c r="AC49" i="1"/>
  <c r="AA51" i="1"/>
  <c r="AC61" i="1"/>
  <c r="AA63" i="1"/>
  <c r="AA75" i="1"/>
  <c r="AC85" i="1"/>
  <c r="AA87" i="1"/>
  <c r="AC97" i="1"/>
  <c r="AA99" i="1"/>
  <c r="AC109" i="1"/>
  <c r="AA111" i="1"/>
  <c r="AC121" i="1"/>
  <c r="AA123" i="1"/>
  <c r="AC133" i="1"/>
  <c r="AA135" i="1"/>
  <c r="AC145" i="1"/>
  <c r="AA147" i="1"/>
  <c r="AC157" i="1"/>
  <c r="AA159" i="1"/>
  <c r="AA71" i="1"/>
  <c r="AA114" i="1"/>
  <c r="AA10" i="1"/>
  <c r="AB15" i="1"/>
  <c r="AA22" i="1"/>
  <c r="AB27" i="1"/>
  <c r="AA34" i="1"/>
  <c r="AB39" i="1"/>
  <c r="AA46" i="1"/>
  <c r="AB51" i="1"/>
  <c r="AA58" i="1"/>
  <c r="AB63" i="1"/>
  <c r="AA70" i="1"/>
  <c r="AB75" i="1"/>
  <c r="AA82" i="1"/>
  <c r="AB87" i="1"/>
  <c r="AA94" i="1"/>
  <c r="AB99" i="1"/>
  <c r="AA106" i="1"/>
  <c r="AB111" i="1"/>
  <c r="AA118" i="1"/>
  <c r="AB123" i="1"/>
  <c r="AA130" i="1"/>
  <c r="AB135" i="1"/>
  <c r="AA142" i="1"/>
  <c r="AB147" i="1"/>
  <c r="AA154" i="1"/>
  <c r="AB159" i="1"/>
  <c r="AB83" i="1"/>
  <c r="AA3" i="1"/>
  <c r="AB3" i="1"/>
  <c r="AB10" i="1"/>
  <c r="AB22" i="1"/>
  <c r="AB34" i="1"/>
  <c r="AB46" i="1"/>
  <c r="AB70" i="1"/>
  <c r="AB82" i="1"/>
  <c r="AB94" i="1"/>
  <c r="AB106" i="1"/>
  <c r="AB118" i="1"/>
  <c r="AB130" i="1"/>
  <c r="AB142" i="1"/>
  <c r="AB154" i="1"/>
  <c r="AA102" i="1"/>
  <c r="C2" i="3" l="1"/>
  <c r="C3" i="3"/>
</calcChain>
</file>

<file path=xl/sharedStrings.xml><?xml version="1.0" encoding="utf-8"?>
<sst xmlns="http://schemas.openxmlformats.org/spreadsheetml/2006/main" count="1092" uniqueCount="268">
  <si>
    <t>Player</t>
  </si>
  <si>
    <t>Age</t>
  </si>
  <si>
    <t>Team</t>
  </si>
  <si>
    <t>Position</t>
  </si>
  <si>
    <t>Throwing Hand</t>
  </si>
  <si>
    <t>Country</t>
  </si>
  <si>
    <t>Surgery Year</t>
  </si>
  <si>
    <t>Surgery Date</t>
  </si>
  <si>
    <t>Return Date</t>
  </si>
  <si>
    <t>Games - Before</t>
  </si>
  <si>
    <t>Games - After</t>
  </si>
  <si>
    <t>Games Started - Before</t>
  </si>
  <si>
    <t>Games Started - After</t>
  </si>
  <si>
    <t>Innings Pitched - Before</t>
  </si>
  <si>
    <t>Innings Pitched - After</t>
  </si>
  <si>
    <t>K-BB% - Before</t>
  </si>
  <si>
    <t>K-BB% - After</t>
  </si>
  <si>
    <t>ERA - Before</t>
  </si>
  <si>
    <t>ERA - After</t>
  </si>
  <si>
    <t>FIP - Before</t>
  </si>
  <si>
    <t>FIP - After</t>
  </si>
  <si>
    <t>FgID</t>
  </si>
  <si>
    <t>Diff in ERA(- improvement)</t>
  </si>
  <si>
    <t>Diff in FIP(- improvement)</t>
  </si>
  <si>
    <t>Diff in K-BB%(+ improvement)</t>
  </si>
  <si>
    <t>Johan Oviedo</t>
  </si>
  <si>
    <t>PIT</t>
  </si>
  <si>
    <t>P</t>
  </si>
  <si>
    <t>R</t>
  </si>
  <si>
    <t>Cuba</t>
  </si>
  <si>
    <t>Felix Bautista</t>
  </si>
  <si>
    <t>BAL</t>
  </si>
  <si>
    <t>Dominican</t>
  </si>
  <si>
    <t>Sandy Alcantara</t>
  </si>
  <si>
    <t>MIA</t>
  </si>
  <si>
    <t>Angel Perdomo</t>
  </si>
  <si>
    <t>L</t>
  </si>
  <si>
    <t>Shohei Ohtani</t>
  </si>
  <si>
    <t>LAA</t>
  </si>
  <si>
    <t>Japan</t>
  </si>
  <si>
    <t>Drey Jameson</t>
  </si>
  <si>
    <t>ARI</t>
  </si>
  <si>
    <t>United States</t>
  </si>
  <si>
    <t>Tony Gonsolin</t>
  </si>
  <si>
    <t>LAD</t>
  </si>
  <si>
    <t>Shane McClanahan</t>
  </si>
  <si>
    <t>TB</t>
  </si>
  <si>
    <t>Liam Hendriks</t>
  </si>
  <si>
    <t>CHW</t>
  </si>
  <si>
    <t>Australia</t>
  </si>
  <si>
    <t>Reiss Knehr</t>
  </si>
  <si>
    <t>SD</t>
  </si>
  <si>
    <t>NULL</t>
  </si>
  <si>
    <t>Antonio Senzatela</t>
  </si>
  <si>
    <t>COL</t>
  </si>
  <si>
    <t>Venezuela</t>
  </si>
  <si>
    <t>Jose De Leon</t>
  </si>
  <si>
    <t>MIN</t>
  </si>
  <si>
    <t>Puerto Rico</t>
  </si>
  <si>
    <t>Dustin May</t>
  </si>
  <si>
    <t>Reiver Sanmartin</t>
  </si>
  <si>
    <t>CIN</t>
  </si>
  <si>
    <t>Colombia</t>
  </si>
  <si>
    <t>Penn Murfee</t>
  </si>
  <si>
    <t>SEA</t>
  </si>
  <si>
    <t>Matthew Boyd</t>
  </si>
  <si>
    <t>DET</t>
  </si>
  <si>
    <t>Jacob deGrom</t>
  </si>
  <si>
    <t>TEX</t>
  </si>
  <si>
    <t>Connor Overton</t>
  </si>
  <si>
    <t>Tyler Mahle</t>
  </si>
  <si>
    <t>Luis Garcia</t>
  </si>
  <si>
    <t>HOU</t>
  </si>
  <si>
    <t>Jose Quijada</t>
  </si>
  <si>
    <t>Austin Warren</t>
  </si>
  <si>
    <t>German Marquez</t>
  </si>
  <si>
    <t>Lou Trivino</t>
  </si>
  <si>
    <t>NYY</t>
  </si>
  <si>
    <t>Robbie Ray</t>
  </si>
  <si>
    <t>Easton McGee</t>
  </si>
  <si>
    <t>Jeffrey Springs</t>
  </si>
  <si>
    <t>Kris Bubic</t>
  </si>
  <si>
    <t>KC</t>
  </si>
  <si>
    <t>JT Brubaker</t>
  </si>
  <si>
    <t>Cade Cavalli</t>
  </si>
  <si>
    <t>WAS</t>
  </si>
  <si>
    <t>Lucas Gilbreath</t>
  </si>
  <si>
    <t>Scott Effross</t>
  </si>
  <si>
    <t>Tyler Matzek</t>
  </si>
  <si>
    <t>ATL</t>
  </si>
  <si>
    <t>Shane Baz</t>
  </si>
  <si>
    <t>Anthony Gose</t>
  </si>
  <si>
    <t>CLE</t>
  </si>
  <si>
    <t>Daulton Jefferies</t>
  </si>
  <si>
    <t>OAK</t>
  </si>
  <si>
    <t>Anthony Bender</t>
  </si>
  <si>
    <t>Walker Buehler</t>
  </si>
  <si>
    <t>Cody Poteet</t>
  </si>
  <si>
    <t>Max Meyer</t>
  </si>
  <si>
    <t>Humberto Castellanos</t>
  </si>
  <si>
    <t>Mexico</t>
  </si>
  <si>
    <t>Tanner Rainey</t>
  </si>
  <si>
    <t>Brad Wieck</t>
  </si>
  <si>
    <t>CHC</t>
  </si>
  <si>
    <t>Vladimir Gutierrez</t>
  </si>
  <si>
    <t>Andrew Kittredge</t>
  </si>
  <si>
    <t>Hyun-Jin Ryu</t>
  </si>
  <si>
    <t>TOR</t>
  </si>
  <si>
    <t>South Korea</t>
  </si>
  <si>
    <t>Justin Wilson</t>
  </si>
  <si>
    <t>Max Kranick</t>
  </si>
  <si>
    <t>Chad Green</t>
  </si>
  <si>
    <t>Chris Paddack</t>
  </si>
  <si>
    <t>Sean Reid-Foley</t>
  </si>
  <si>
    <t>NYM</t>
  </si>
  <si>
    <t>John Means</t>
  </si>
  <si>
    <t>Luke Jackson</t>
  </si>
  <si>
    <t>Deolis Guerra</t>
  </si>
  <si>
    <t>Sean Guenther</t>
  </si>
  <si>
    <t>Garrett Crochet</t>
  </si>
  <si>
    <t>Codi Heuer</t>
  </si>
  <si>
    <t>Evan Marshall</t>
  </si>
  <si>
    <t>Richard Lovelady</t>
  </si>
  <si>
    <t>John Curtiss</t>
  </si>
  <si>
    <t>MIL</t>
  </si>
  <si>
    <t>Kenta Maeda</t>
  </si>
  <si>
    <t>John Axford</t>
  </si>
  <si>
    <t>Canada</t>
  </si>
  <si>
    <t>Tejay Antone</t>
  </si>
  <si>
    <t>Tyler Glasnow</t>
  </si>
  <si>
    <t>Jimmy Nelson</t>
  </si>
  <si>
    <t>Spencer Turnbull</t>
  </si>
  <si>
    <t>Dan Altavilla</t>
  </si>
  <si>
    <t>Joey Lucchesi</t>
  </si>
  <si>
    <t>Chris Devenski</t>
  </si>
  <si>
    <t>JoJo Romero</t>
  </si>
  <si>
    <t>PHI</t>
  </si>
  <si>
    <t>Keone Kela</t>
  </si>
  <si>
    <t>Brock Stewart</t>
  </si>
  <si>
    <t>Ljay Newsome</t>
  </si>
  <si>
    <t>Luis Avilan</t>
  </si>
  <si>
    <t>Adrian Morejon</t>
  </si>
  <si>
    <t>James Paxton</t>
  </si>
  <si>
    <t>Jonathan Hernandez</t>
  </si>
  <si>
    <t>Michel Baez</t>
  </si>
  <si>
    <t>Jose Leclerc</t>
  </si>
  <si>
    <t>Rico Garcia</t>
  </si>
  <si>
    <t>SF</t>
  </si>
  <si>
    <t>Roenis Elias</t>
  </si>
  <si>
    <t>Kirby Yates</t>
  </si>
  <si>
    <t>Blake Cederlind</t>
  </si>
  <si>
    <t>Jimmy Cordero</t>
  </si>
  <si>
    <t>Gerardo Reyes</t>
  </si>
  <si>
    <t>Jose Castillo</t>
  </si>
  <si>
    <t>Brandon Bailey</t>
  </si>
  <si>
    <t>Ariel Jurado</t>
  </si>
  <si>
    <t>Panama</t>
  </si>
  <si>
    <t>Mike Clevinger</t>
  </si>
  <si>
    <t>Ricardo Sanchez</t>
  </si>
  <si>
    <t>STL</t>
  </si>
  <si>
    <t>Nick Burdi</t>
  </si>
  <si>
    <t>Chance Adams</t>
  </si>
  <si>
    <t>Luis Perdomo</t>
  </si>
  <si>
    <t>Justin Verlander</t>
  </si>
  <si>
    <t>Ken Giles</t>
  </si>
  <si>
    <t>Dakota Hudson</t>
  </si>
  <si>
    <t>Caleb Ferguson</t>
  </si>
  <si>
    <t>Tyler Thornburg</t>
  </si>
  <si>
    <t>Jalen Beeks</t>
  </si>
  <si>
    <t>Matt Bowman</t>
  </si>
  <si>
    <t>Yonny Chirinos</t>
  </si>
  <si>
    <t>Sam Freeman</t>
  </si>
  <si>
    <t>Foster Griffin</t>
  </si>
  <si>
    <t>Tommy Kahnle</t>
  </si>
  <si>
    <t>Seranthony Dominguez</t>
  </si>
  <si>
    <t>Colin Poche</t>
  </si>
  <si>
    <t>Justin Anderson</t>
  </si>
  <si>
    <t>Peter Lambert</t>
  </si>
  <si>
    <t>Trey Wingenter</t>
  </si>
  <si>
    <t>Ty Blach</t>
  </si>
  <si>
    <t>John Brebbia</t>
  </si>
  <si>
    <t>Chris Sale</t>
  </si>
  <si>
    <t>BOS</t>
  </si>
  <si>
    <t>Noah Syndergaard</t>
  </si>
  <si>
    <t>Blaine Hardy</t>
  </si>
  <si>
    <t>Andres Munoz</t>
  </si>
  <si>
    <t>Tyler Beede</t>
  </si>
  <si>
    <t>Luis Severino</t>
  </si>
  <si>
    <t>Steven Wright</t>
  </si>
  <si>
    <t>Connor Sadzeck</t>
  </si>
  <si>
    <t>Tim Mayza</t>
  </si>
  <si>
    <t>Adam Warren</t>
  </si>
  <si>
    <t>David Robertson</t>
  </si>
  <si>
    <t>Chasen Bradford</t>
  </si>
  <si>
    <t>Jameson Taillon</t>
  </si>
  <si>
    <t>Josh Rogers</t>
  </si>
  <si>
    <t>Jordan Hicks</t>
  </si>
  <si>
    <t>Ryan Burr</t>
  </si>
  <si>
    <t>Carlos Rodon</t>
  </si>
  <si>
    <t>Corey Knebel</t>
  </si>
  <si>
    <t>Michael Fulmer</t>
  </si>
  <si>
    <t>Silvino Bracho</t>
  </si>
  <si>
    <t>Drew Smith</t>
  </si>
  <si>
    <t>Mark Leiter Jr.</t>
  </si>
  <si>
    <t>Lance McCullers Jr.</t>
  </si>
  <si>
    <t>Edgar Santana</t>
  </si>
  <si>
    <t>Jerry Vasto</t>
  </si>
  <si>
    <t>Chad Kuhl</t>
  </si>
  <si>
    <t>Michael Kopech</t>
  </si>
  <si>
    <t>Artie Lewicki</t>
  </si>
  <si>
    <t>Johnny Cueto</t>
  </si>
  <si>
    <t>Daniel Gossett</t>
  </si>
  <si>
    <t>Brent Suter</t>
  </si>
  <si>
    <t>Garrett Richards</t>
  </si>
  <si>
    <t>John Lamb</t>
  </si>
  <si>
    <t>Kevin Shackelford</t>
  </si>
  <si>
    <t>Jordan Montgomery</t>
  </si>
  <si>
    <t>Blake Wood</t>
  </si>
  <si>
    <t>Keynan Middleton</t>
  </si>
  <si>
    <t>Taijuan Walker</t>
  </si>
  <si>
    <t>Dinelson Lamet</t>
  </si>
  <si>
    <t>JC Ramirez</t>
  </si>
  <si>
    <t>Nicaragua</t>
  </si>
  <si>
    <t>Ben Heller</t>
  </si>
  <si>
    <t>Rafael Montero</t>
  </si>
  <si>
    <t>David Phelps</t>
  </si>
  <si>
    <t>Jharel Cotton</t>
  </si>
  <si>
    <t>St. Thomas</t>
  </si>
  <si>
    <t>Nik Turley</t>
  </si>
  <si>
    <t>AVERAGE</t>
  </si>
  <si>
    <t>Row</t>
  </si>
  <si>
    <t>Period</t>
  </si>
  <si>
    <t>Issue</t>
  </si>
  <si>
    <t>After</t>
  </si>
  <si>
    <t>No seasons found for [2024, 2025, 2026]</t>
  </si>
  <si>
    <t>ID</t>
  </si>
  <si>
    <t>Ambiguous name, candidates: ['garcilu03', 'garcilu05']</t>
  </si>
  <si>
    <t>Before</t>
  </si>
  <si>
    <t>No seasons found for [2019, 2020, 2021]</t>
  </si>
  <si>
    <t>No seasons found for [2023, 2024, 2025]</t>
  </si>
  <si>
    <t>No name match in any CSV</t>
  </si>
  <si>
    <t>No seasons found for [2022, 2023, 2024]</t>
  </si>
  <si>
    <t>No seasons found for [2017, 2018, 2019]</t>
  </si>
  <si>
    <t>No seasons found for [2021, 2022, 2023]</t>
  </si>
  <si>
    <t>No seasons found for [2020, 2021, 2022]</t>
  </si>
  <si>
    <t>No seasons found for [2015, 2016, 2017]</t>
  </si>
  <si>
    <t>Paired IP Weight</t>
  </si>
  <si>
    <t>Weighted ERA Contribution</t>
  </si>
  <si>
    <t>Weighted FIP Contribution</t>
  </si>
  <si>
    <t>Weighted K-BB% Contribution</t>
  </si>
  <si>
    <t>Statistic</t>
  </si>
  <si>
    <t>Unweighted Average Change</t>
  </si>
  <si>
    <t>Innings-Weighted Average Change</t>
  </si>
  <si>
    <t>Interpretation</t>
  </si>
  <si>
    <t>ERA</t>
  </si>
  <si>
    <t>Negative means improvement</t>
  </si>
  <si>
    <t>FIP</t>
  </si>
  <si>
    <t>K-BB%</t>
  </si>
  <si>
    <t>Positive means improvement</t>
  </si>
  <si>
    <t>Method</t>
  </si>
  <si>
    <t>Weight = minimum of pre- and post-surgery innings pitched</t>
  </si>
  <si>
    <t>Eligibility</t>
  </si>
  <si>
    <t>Only pitchers with valid before/after IP, ERA, FIP, and K-BB%</t>
  </si>
  <si>
    <t>Baseball innings</t>
  </si>
  <si>
    <t>65.2 is converted to 65 + 2/3 innings</t>
  </si>
  <si>
    <t>Direction</t>
  </si>
  <si>
    <t>After surgery minus before surgery</t>
  </si>
  <si>
    <t>Eligible paired pitchers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</si>
</sst>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%"/>
    <numFmt numFmtId="166" formatCode="0.0000"/>
  </numFmts>
  <fonts count="5" x14ac:knownFonts="1">
    <font>
      <sz val="11"/>
      <color theme="1"/>
      <name val="Calibri"/>
    </font>
    <font>
      <b/>
      <sz val="10"/>
      <color rgb="FFFFFFFF"/>
      <name val="Arial"/>
    </font>
    <font>
      <sz val="10"/>
      <name val="Arial"/>
    </font>
    <font>
      <b/>
      <sz val="11"/>
      <color theme="1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/>
    <xf numFmtId="14" fontId="1" fillId="2" borderId="0" xfId="0" applyNumberFormat="1" applyFont="1" applyFill="1" applyAlignment="1">
      <alignment horizontal="center" vertical="center" wrapText="1"/>
    </xf>
    <xf numFmtId="14" fontId="2" fillId="0" borderId="0" xfId="0" applyNumberFormat="1" applyFont="1"/>
    <xf numFmtId="14" fontId="0" fillId="0" borderId="0" xfId="0" applyNumberFormat="1"/>
    <xf numFmtId="1" fontId="2" fillId="0" borderId="0" xfId="0" applyNumberFormat="1" applyFont="1"/>
    <xf numFmtId="164" fontId="2" fillId="0" borderId="0" xfId="0" applyNumberFormat="1" applyFont="1"/>
    <xf numFmtId="165" fontId="2" fillId="0" borderId="0" xfId="0" applyNumberFormat="1" applyFont="1"/>
    <xf numFmtId="2" fontId="2" fillId="0" borderId="0" xfId="0" applyNumberFormat="1" applyFont="1"/>
    <xf numFmtId="49" fontId="2" fillId="0" borderId="0" xfId="0" applyNumberFormat="1" applyFont="1"/>
    <xf numFmtId="0" fontId="3" fillId="0" borderId="0" xfId="0" applyFont="1"/>
    <xf numFmtId="0" fontId="1" fillId="3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wrapText="1"/>
    </xf>
    <xf numFmtId="166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60"/>
  <sheetViews>
    <sheetView workbookViewId="0">
      <pane xSplit="1" ySplit="1" topLeftCell="X152" activePane="bottomRight" state="frozen"/>
      <selection pane="topRight"/>
      <selection pane="bottomLeft"/>
      <selection pane="bottomRight" activeCell="B2" sqref="B2"/>
    </sheetView>
  </sheetViews>
  <sheetFormatPr defaultRowHeight="14.5" x14ac:dyDescent="0.35"/>
  <cols>
    <col min="1" max="1" width="22" customWidth="1"/>
    <col min="2" max="4" width="10" customWidth="1"/>
    <col min="5" max="6" width="15" customWidth="1"/>
    <col min="7" max="7" width="14" customWidth="1"/>
    <col min="8" max="8" width="14" style="5" customWidth="1"/>
    <col min="9" max="9" width="13" style="5" customWidth="1"/>
    <col min="10" max="10" width="16" customWidth="1"/>
    <col min="11" max="11" width="15" customWidth="1"/>
    <col min="12" max="12" width="24" customWidth="1"/>
    <col min="13" max="13" width="23" customWidth="1"/>
    <col min="14" max="14" width="26" customWidth="1"/>
    <col min="15" max="15" width="25" customWidth="1"/>
    <col min="16" max="16" width="16" customWidth="1"/>
    <col min="17" max="17" width="15" customWidth="1"/>
    <col min="18" max="18" width="14" customWidth="1"/>
    <col min="19" max="19" width="13" customWidth="1"/>
    <col min="20" max="20" width="14" customWidth="1"/>
    <col min="21" max="21" width="13" customWidth="1"/>
    <col min="23" max="29" width="22" customWidth="1"/>
  </cols>
  <sheetData>
    <row r="1" spans="1:29" ht="32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2" t="s">
        <v>22</v>
      </c>
      <c r="X1" s="12" t="s">
        <v>23</v>
      </c>
      <c r="Y1" s="12" t="s">
        <v>24</v>
      </c>
      <c r="Z1" s="13" t="s">
        <v>246</v>
      </c>
      <c r="AA1" s="13" t="s">
        <v>247</v>
      </c>
      <c r="AB1" s="13" t="s">
        <v>248</v>
      </c>
      <c r="AC1" s="13" t="s">
        <v>249</v>
      </c>
    </row>
    <row r="2" spans="1:29" x14ac:dyDescent="0.35">
      <c r="A2" s="2" t="s">
        <v>25</v>
      </c>
      <c r="B2" s="2">
        <v>25</v>
      </c>
      <c r="C2" s="2" t="s">
        <v>26</v>
      </c>
      <c r="D2" s="2" t="s">
        <v>27</v>
      </c>
      <c r="E2" s="2" t="s">
        <v>28</v>
      </c>
      <c r="F2" s="2" t="s">
        <v>29</v>
      </c>
      <c r="G2" s="2">
        <v>2023</v>
      </c>
      <c r="H2" s="4">
        <v>45261</v>
      </c>
      <c r="I2" s="4">
        <v>45873</v>
      </c>
      <c r="J2" s="6">
        <v>40</v>
      </c>
      <c r="K2" s="6">
        <v>10</v>
      </c>
      <c r="L2" s="6">
        <v>26</v>
      </c>
      <c r="M2" s="6">
        <v>9</v>
      </c>
      <c r="N2" s="7">
        <v>143</v>
      </c>
      <c r="O2" s="7">
        <v>44</v>
      </c>
      <c r="P2" s="8">
        <v>7.9399999999999998E-2</v>
      </c>
      <c r="Q2" s="8">
        <v>0.11169999999999999</v>
      </c>
      <c r="R2" s="9">
        <v>4.3426999999999998</v>
      </c>
      <c r="S2" s="9">
        <v>4.0909000000000004</v>
      </c>
      <c r="T2" s="9">
        <v>4.6760000000000002</v>
      </c>
      <c r="U2" s="9">
        <v>5.3592000000000004</v>
      </c>
      <c r="V2">
        <v>22487</v>
      </c>
      <c r="W2" s="14">
        <f>IF(AND(ISNUMBER(N2),ISNUMBER(O2),ISNUMBER(P2),ISNUMBER(Q2),ISNUMBER(R2),ISNUMBER(S2),ISNUMBER(T2),ISNUMBER(U2),N2&gt;0,O2&gt;0),S2-R2,"")</f>
        <v>-0.25179999999999936</v>
      </c>
      <c r="X2" s="14">
        <f>IF(AND(ISNUMBER(N2),ISNUMBER(O2),ISNUMBER(P2),ISNUMBER(Q2),ISNUMBER(R2),ISNUMBER(S2),ISNUMBER(T2),ISNUMBER(U2),N2&gt;0,O2&gt;0),U2-T2,"")</f>
        <v>0.68320000000000025</v>
      </c>
      <c r="Y2" s="15">
        <f>IF(AND(ISNUMBER(N2),ISNUMBER(O2),ISNUMBER(P2),ISNUMBER(Q2),ISNUMBER(R2),ISNUMBER(S2),ISNUMBER(T2),ISNUMBER(U2),N2&gt;0,O2&gt;0),Q2-P2,"")</f>
        <v>3.2299999999999995E-2</v>
      </c>
      <c r="Z2" s="14">
        <f t="shared" ref="Z2:Z33" si="0">IF(AND(ISNUMBER(N2),ISNUMBER(O2),ISNUMBER(P2),ISNUMBER(Q2),ISNUMBER(R2),ISNUMBER(S2),ISNUMBER(T2),ISNUMBER(U2),N2&gt;0,O2&gt;0),MIN((INT(N2)*3+ROUND(MOD(N2,1)*10,0))/3,(INT(O2)*3+ROUND(MOD(O2,1)*10,0))/3),"")</f>
        <v>44</v>
      </c>
      <c r="AA2" s="14">
        <f t="shared" ref="AA2:AA33" si="1">IF(ISNUMBER(Z2),W2*Z2,"")</f>
        <v>-11.079199999999972</v>
      </c>
      <c r="AB2" s="14">
        <f t="shared" ref="AB2:AB33" si="2">IF(ISNUMBER(Z2),X2*Z2,"")</f>
        <v>30.060800000000011</v>
      </c>
      <c r="AC2" s="15">
        <f t="shared" ref="AC2:AC33" si="3">IF(ISNUMBER(Z2),Y2*Z2,"")</f>
        <v>1.4211999999999998</v>
      </c>
    </row>
    <row r="3" spans="1:29" x14ac:dyDescent="0.35">
      <c r="A3" s="2" t="s">
        <v>30</v>
      </c>
      <c r="B3" s="2">
        <v>28</v>
      </c>
      <c r="C3" s="2" t="s">
        <v>31</v>
      </c>
      <c r="D3" s="2" t="s">
        <v>27</v>
      </c>
      <c r="E3" s="2" t="s">
        <v>28</v>
      </c>
      <c r="F3" s="2" t="s">
        <v>32</v>
      </c>
      <c r="G3" s="2">
        <v>2023</v>
      </c>
      <c r="H3" s="4">
        <v>45208</v>
      </c>
      <c r="I3" s="4">
        <v>45745</v>
      </c>
      <c r="J3" s="6">
        <v>65</v>
      </c>
      <c r="K3" s="6">
        <v>37</v>
      </c>
      <c r="L3" s="6">
        <v>0</v>
      </c>
      <c r="M3" s="6">
        <v>0</v>
      </c>
      <c r="N3" s="7">
        <v>65.2</v>
      </c>
      <c r="O3" s="7">
        <v>36.1</v>
      </c>
      <c r="P3" s="8">
        <v>0.25690000000000002</v>
      </c>
      <c r="Q3" s="8">
        <v>0.1908</v>
      </c>
      <c r="R3" s="9">
        <v>2.1928999999999998</v>
      </c>
      <c r="S3" s="9">
        <v>3.2202000000000002</v>
      </c>
      <c r="T3" s="9">
        <v>2.91</v>
      </c>
      <c r="U3" s="9">
        <v>3.6328</v>
      </c>
      <c r="V3">
        <v>20666</v>
      </c>
      <c r="W3" s="14">
        <f t="shared" ref="W3:W66" si="4">IF(AND(ISNUMBER(N3),ISNUMBER(O3),ISNUMBER(P3),ISNUMBER(Q3),ISNUMBER(R3),ISNUMBER(S3),ISNUMBER(T3),ISNUMBER(U3),N3&gt;0,O3&gt;0),S3-R3,"")</f>
        <v>1.0273000000000003</v>
      </c>
      <c r="X3" s="14">
        <f t="shared" ref="X3:X66" si="5">IF(AND(ISNUMBER(N3),ISNUMBER(O3),ISNUMBER(P3),ISNUMBER(Q3),ISNUMBER(R3),ISNUMBER(S3),ISNUMBER(T3),ISNUMBER(U3),N3&gt;0,O3&gt;0),U3-T3,"")</f>
        <v>0.72279999999999989</v>
      </c>
      <c r="Y3" s="15">
        <f t="shared" ref="Y3:Y66" si="6">IF(AND(ISNUMBER(N3),ISNUMBER(O3),ISNUMBER(P3),ISNUMBER(Q3),ISNUMBER(R3),ISNUMBER(S3),ISNUMBER(T3),ISNUMBER(U3),N3&gt;0,O3&gt;0),Q3-P3,"")</f>
        <v>-6.610000000000002E-2</v>
      </c>
      <c r="Z3" s="14">
        <f t="shared" si="0"/>
        <v>36.333333333333336</v>
      </c>
      <c r="AA3" s="14">
        <f t="shared" si="1"/>
        <v>37.325233333333351</v>
      </c>
      <c r="AB3" s="14">
        <f t="shared" si="2"/>
        <v>26.261733333333332</v>
      </c>
      <c r="AC3" s="15">
        <f t="shared" si="3"/>
        <v>-2.4016333333333342</v>
      </c>
    </row>
    <row r="4" spans="1:29" x14ac:dyDescent="0.35">
      <c r="A4" s="2" t="s">
        <v>33</v>
      </c>
      <c r="B4" s="2">
        <v>27</v>
      </c>
      <c r="C4" s="2" t="s">
        <v>34</v>
      </c>
      <c r="D4" s="2" t="s">
        <v>27</v>
      </c>
      <c r="E4" s="2" t="s">
        <v>28</v>
      </c>
      <c r="F4" s="2" t="s">
        <v>32</v>
      </c>
      <c r="G4" s="2">
        <v>2023</v>
      </c>
      <c r="H4" s="4">
        <v>45205</v>
      </c>
      <c r="I4" s="4">
        <v>45743</v>
      </c>
      <c r="J4" s="6">
        <v>72</v>
      </c>
      <c r="K4" s="6">
        <v>67</v>
      </c>
      <c r="L4" s="6">
        <v>72</v>
      </c>
      <c r="M4" s="6">
        <v>64</v>
      </c>
      <c r="N4" s="7">
        <v>476.1</v>
      </c>
      <c r="O4" s="7">
        <v>388.2</v>
      </c>
      <c r="P4" s="8">
        <v>0.17519999999999999</v>
      </c>
      <c r="Q4" s="8">
        <v>0.10920000000000001</v>
      </c>
      <c r="R4" s="9">
        <v>2.7397</v>
      </c>
      <c r="S4" s="9">
        <v>4.5385999999999997</v>
      </c>
      <c r="T4" s="9">
        <v>3.2391000000000001</v>
      </c>
      <c r="U4" s="9">
        <v>4.1699000000000002</v>
      </c>
      <c r="V4">
        <v>18684</v>
      </c>
      <c r="W4" s="14">
        <f t="shared" si="4"/>
        <v>1.7988999999999997</v>
      </c>
      <c r="X4" s="14">
        <f t="shared" si="5"/>
        <v>0.93080000000000007</v>
      </c>
      <c r="Y4" s="15">
        <f t="shared" si="6"/>
        <v>-6.5999999999999989E-2</v>
      </c>
      <c r="Z4" s="14">
        <f t="shared" si="0"/>
        <v>388.66666666666669</v>
      </c>
      <c r="AA4" s="14">
        <f t="shared" si="1"/>
        <v>699.17246666666654</v>
      </c>
      <c r="AB4" s="14">
        <f t="shared" si="2"/>
        <v>361.7709333333334</v>
      </c>
      <c r="AC4" s="15">
        <f t="shared" si="3"/>
        <v>-25.651999999999997</v>
      </c>
    </row>
    <row r="5" spans="1:29" x14ac:dyDescent="0.35">
      <c r="A5" s="2" t="s">
        <v>35</v>
      </c>
      <c r="B5" s="2">
        <v>29</v>
      </c>
      <c r="C5" s="2" t="s">
        <v>26</v>
      </c>
      <c r="D5" s="2" t="s">
        <v>27</v>
      </c>
      <c r="E5" s="2" t="s">
        <v>36</v>
      </c>
      <c r="F5" s="2" t="s">
        <v>32</v>
      </c>
      <c r="G5" s="2">
        <v>2023</v>
      </c>
      <c r="H5" s="4">
        <v>45205</v>
      </c>
      <c r="I5" s="4">
        <v>45749</v>
      </c>
      <c r="J5" s="6">
        <v>22</v>
      </c>
      <c r="K5" s="6">
        <v>4</v>
      </c>
      <c r="L5" s="6">
        <v>0</v>
      </c>
      <c r="M5" s="6">
        <v>0</v>
      </c>
      <c r="N5" s="7">
        <v>19.2</v>
      </c>
      <c r="O5" s="7">
        <v>3.1</v>
      </c>
      <c r="P5" s="8">
        <v>0.10199999999999999</v>
      </c>
      <c r="Q5" s="8">
        <v>-6.25E-2</v>
      </c>
      <c r="R5" s="9">
        <v>8.2372999999999994</v>
      </c>
      <c r="S5" s="9">
        <v>5.4</v>
      </c>
      <c r="T5" s="9">
        <v>6.4259000000000004</v>
      </c>
      <c r="U5" s="9">
        <v>5.54</v>
      </c>
      <c r="V5">
        <v>17759</v>
      </c>
      <c r="W5" s="14">
        <f t="shared" si="4"/>
        <v>-2.837299999999999</v>
      </c>
      <c r="X5" s="14">
        <f t="shared" si="5"/>
        <v>-0.88590000000000035</v>
      </c>
      <c r="Y5" s="15">
        <f t="shared" si="6"/>
        <v>-0.16449999999999998</v>
      </c>
      <c r="Z5" s="14">
        <f t="shared" si="0"/>
        <v>3.3333333333333335</v>
      </c>
      <c r="AA5" s="14">
        <f t="shared" si="1"/>
        <v>-9.4576666666666647</v>
      </c>
      <c r="AB5" s="14">
        <f t="shared" si="2"/>
        <v>-2.9530000000000012</v>
      </c>
      <c r="AC5" s="15">
        <f t="shared" si="3"/>
        <v>-0.54833333333333334</v>
      </c>
    </row>
    <row r="6" spans="1:29" x14ac:dyDescent="0.35">
      <c r="A6" s="2" t="s">
        <v>37</v>
      </c>
      <c r="B6" s="2">
        <v>28</v>
      </c>
      <c r="C6" s="2" t="s">
        <v>38</v>
      </c>
      <c r="D6" s="2" t="s">
        <v>27</v>
      </c>
      <c r="E6" s="2" t="s">
        <v>28</v>
      </c>
      <c r="F6" s="2" t="s">
        <v>39</v>
      </c>
      <c r="G6" s="2">
        <v>2023</v>
      </c>
      <c r="H6" s="4">
        <v>45188</v>
      </c>
      <c r="I6" s="4">
        <v>45371</v>
      </c>
      <c r="J6" s="6">
        <v>53</v>
      </c>
      <c r="K6" s="6">
        <v>28</v>
      </c>
      <c r="L6" s="6">
        <v>53</v>
      </c>
      <c r="M6" s="6">
        <v>28</v>
      </c>
      <c r="N6" s="7">
        <v>298</v>
      </c>
      <c r="O6" s="7">
        <v>132.19999999999999</v>
      </c>
      <c r="P6" s="8">
        <v>0.23330000000000001</v>
      </c>
      <c r="Q6" s="8">
        <v>0.2311</v>
      </c>
      <c r="R6" s="9">
        <v>2.8993000000000002</v>
      </c>
      <c r="S6" s="9">
        <v>2.1709000000000001</v>
      </c>
      <c r="T6" s="9">
        <v>2.9546999999999999</v>
      </c>
      <c r="U6" s="9">
        <v>2.3584999999999998</v>
      </c>
      <c r="V6">
        <v>19755</v>
      </c>
      <c r="W6" s="14">
        <f t="shared" si="4"/>
        <v>-0.72840000000000016</v>
      </c>
      <c r="X6" s="14">
        <f t="shared" si="5"/>
        <v>-0.59620000000000006</v>
      </c>
      <c r="Y6" s="15">
        <f t="shared" si="6"/>
        <v>-2.2000000000000075E-3</v>
      </c>
      <c r="Z6" s="14">
        <f t="shared" si="0"/>
        <v>132.66666666666666</v>
      </c>
      <c r="AA6" s="14">
        <f t="shared" si="1"/>
        <v>-96.634400000000014</v>
      </c>
      <c r="AB6" s="14">
        <f t="shared" si="2"/>
        <v>-79.095866666666666</v>
      </c>
      <c r="AC6" s="15">
        <f t="shared" si="3"/>
        <v>-0.29186666666666766</v>
      </c>
    </row>
    <row r="7" spans="1:29" x14ac:dyDescent="0.35">
      <c r="A7" s="2" t="s">
        <v>40</v>
      </c>
      <c r="B7" s="2">
        <v>25</v>
      </c>
      <c r="C7" s="2" t="s">
        <v>41</v>
      </c>
      <c r="D7" s="2" t="s">
        <v>27</v>
      </c>
      <c r="E7" s="2" t="s">
        <v>28</v>
      </c>
      <c r="F7" s="2" t="s">
        <v>42</v>
      </c>
      <c r="G7" s="2">
        <v>2023</v>
      </c>
      <c r="H7" s="4">
        <v>45170</v>
      </c>
      <c r="I7" s="4">
        <v>45767</v>
      </c>
      <c r="J7" s="6">
        <v>4</v>
      </c>
      <c r="K7" s="6">
        <v>15</v>
      </c>
      <c r="L7" s="6">
        <v>4</v>
      </c>
      <c r="M7" s="6">
        <v>0</v>
      </c>
      <c r="N7" s="7">
        <v>24.1</v>
      </c>
      <c r="O7" s="7">
        <v>22.1</v>
      </c>
      <c r="P7" s="8">
        <v>0.17349999999999999</v>
      </c>
      <c r="Q7" s="8">
        <v>0</v>
      </c>
      <c r="R7" s="9">
        <v>1.4795</v>
      </c>
      <c r="S7" s="9">
        <v>4.8357999999999999</v>
      </c>
      <c r="T7" s="9">
        <v>3.19</v>
      </c>
      <c r="U7" s="9">
        <v>4.4086999999999996</v>
      </c>
      <c r="V7">
        <v>26260</v>
      </c>
      <c r="W7" s="14">
        <f t="shared" si="4"/>
        <v>3.3563000000000001</v>
      </c>
      <c r="X7" s="14">
        <f t="shared" si="5"/>
        <v>1.2186999999999997</v>
      </c>
      <c r="Y7" s="15">
        <f t="shared" si="6"/>
        <v>-0.17349999999999999</v>
      </c>
      <c r="Z7" s="14">
        <f t="shared" si="0"/>
        <v>22.333333333333332</v>
      </c>
      <c r="AA7" s="14">
        <f t="shared" si="1"/>
        <v>74.957366666666658</v>
      </c>
      <c r="AB7" s="14">
        <f t="shared" si="2"/>
        <v>27.217633333333325</v>
      </c>
      <c r="AC7" s="15">
        <f t="shared" si="3"/>
        <v>-3.8748333333333327</v>
      </c>
    </row>
    <row r="8" spans="1:29" x14ac:dyDescent="0.35">
      <c r="A8" s="2" t="s">
        <v>43</v>
      </c>
      <c r="B8" s="2">
        <v>29</v>
      </c>
      <c r="C8" s="2" t="s">
        <v>44</v>
      </c>
      <c r="D8" s="2" t="s">
        <v>27</v>
      </c>
      <c r="E8" s="2" t="s">
        <v>28</v>
      </c>
      <c r="F8" s="2" t="s">
        <v>42</v>
      </c>
      <c r="G8" s="2">
        <v>2023</v>
      </c>
      <c r="H8" s="4">
        <v>45170</v>
      </c>
      <c r="I8" s="4">
        <v>45777</v>
      </c>
      <c r="J8" s="6">
        <v>48</v>
      </c>
      <c r="K8" s="6">
        <v>8</v>
      </c>
      <c r="L8" s="6">
        <v>45</v>
      </c>
      <c r="M8" s="6">
        <v>7</v>
      </c>
      <c r="N8" s="7">
        <v>232.2</v>
      </c>
      <c r="O8" s="7">
        <v>38.200000000000003</v>
      </c>
      <c r="P8" s="8">
        <v>0.16869999999999999</v>
      </c>
      <c r="Q8" s="8">
        <v>0.12790000000000001</v>
      </c>
      <c r="R8" s="9">
        <v>2.4369999999999998</v>
      </c>
      <c r="S8" s="9">
        <v>5.819</v>
      </c>
      <c r="T8" s="9">
        <v>3.3828999999999998</v>
      </c>
      <c r="U8" s="9">
        <v>6.1289999999999996</v>
      </c>
      <c r="V8">
        <v>19388</v>
      </c>
      <c r="W8" s="14">
        <f t="shared" si="4"/>
        <v>3.3820000000000001</v>
      </c>
      <c r="X8" s="14">
        <f t="shared" si="5"/>
        <v>2.7460999999999998</v>
      </c>
      <c r="Y8" s="15">
        <f t="shared" si="6"/>
        <v>-4.0799999999999975E-2</v>
      </c>
      <c r="Z8" s="14">
        <f t="shared" si="0"/>
        <v>38.666666666666664</v>
      </c>
      <c r="AA8" s="14">
        <f t="shared" si="1"/>
        <v>130.77066666666667</v>
      </c>
      <c r="AB8" s="14">
        <f t="shared" si="2"/>
        <v>106.18253333333332</v>
      </c>
      <c r="AC8" s="15">
        <f t="shared" si="3"/>
        <v>-1.577599999999999</v>
      </c>
    </row>
    <row r="9" spans="1:29" x14ac:dyDescent="0.35">
      <c r="A9" s="2" t="s">
        <v>45</v>
      </c>
      <c r="B9" s="2">
        <v>26</v>
      </c>
      <c r="C9" s="2" t="s">
        <v>46</v>
      </c>
      <c r="D9" s="2" t="s">
        <v>27</v>
      </c>
      <c r="E9" s="2" t="s">
        <v>36</v>
      </c>
      <c r="F9" s="2" t="s">
        <v>42</v>
      </c>
      <c r="G9" s="2">
        <v>2023</v>
      </c>
      <c r="H9" s="4">
        <v>45159</v>
      </c>
      <c r="I9" s="4">
        <v>46112</v>
      </c>
      <c r="J9" s="6">
        <v>53</v>
      </c>
      <c r="K9" s="6">
        <v>24</v>
      </c>
      <c r="L9" s="6">
        <v>53</v>
      </c>
      <c r="M9" s="6">
        <v>24</v>
      </c>
      <c r="N9" s="7">
        <v>289.2</v>
      </c>
      <c r="O9" s="7">
        <v>118</v>
      </c>
      <c r="P9" s="8">
        <v>0.22450000000000001</v>
      </c>
      <c r="Q9" s="8">
        <v>0.1376</v>
      </c>
      <c r="R9" s="9">
        <v>2.9205999999999999</v>
      </c>
      <c r="S9" s="9">
        <v>3.3559000000000001</v>
      </c>
      <c r="T9" s="9">
        <v>3.1320000000000001</v>
      </c>
      <c r="U9" s="9">
        <v>3.5</v>
      </c>
      <c r="V9">
        <v>21483</v>
      </c>
      <c r="W9" s="14">
        <f t="shared" si="4"/>
        <v>0.43530000000000024</v>
      </c>
      <c r="X9" s="14">
        <f t="shared" si="5"/>
        <v>0.36799999999999988</v>
      </c>
      <c r="Y9" s="15">
        <f t="shared" si="6"/>
        <v>-8.6900000000000005E-2</v>
      </c>
      <c r="Z9" s="14">
        <f t="shared" si="0"/>
        <v>118</v>
      </c>
      <c r="AA9" s="14">
        <f t="shared" si="1"/>
        <v>51.365400000000029</v>
      </c>
      <c r="AB9" s="14">
        <f t="shared" si="2"/>
        <v>43.423999999999985</v>
      </c>
      <c r="AC9" s="15">
        <f t="shared" si="3"/>
        <v>-10.254200000000001</v>
      </c>
    </row>
    <row r="10" spans="1:29" x14ac:dyDescent="0.35">
      <c r="A10" s="2" t="s">
        <v>47</v>
      </c>
      <c r="B10" s="2">
        <v>34</v>
      </c>
      <c r="C10" s="2" t="s">
        <v>48</v>
      </c>
      <c r="D10" s="2" t="s">
        <v>27</v>
      </c>
      <c r="E10" s="2" t="s">
        <v>28</v>
      </c>
      <c r="F10" s="2" t="s">
        <v>49</v>
      </c>
      <c r="G10" s="2">
        <v>2023</v>
      </c>
      <c r="H10" s="4">
        <v>45140</v>
      </c>
      <c r="I10" s="4">
        <v>45767</v>
      </c>
      <c r="J10" s="6">
        <v>151</v>
      </c>
      <c r="K10" s="6">
        <v>14</v>
      </c>
      <c r="L10" s="6">
        <v>0</v>
      </c>
      <c r="M10" s="6">
        <v>0</v>
      </c>
      <c r="N10" s="7">
        <v>154</v>
      </c>
      <c r="O10" s="7">
        <v>13.2</v>
      </c>
      <c r="P10" s="8">
        <v>0.35189999999999999</v>
      </c>
      <c r="Q10" s="8">
        <v>8.4699999999999998E-2</v>
      </c>
      <c r="R10" s="9">
        <v>2.5129999999999999</v>
      </c>
      <c r="S10" s="9">
        <v>6.5853999999999999</v>
      </c>
      <c r="T10" s="9">
        <v>2.2698999999999998</v>
      </c>
      <c r="U10" s="9">
        <v>5.04</v>
      </c>
      <c r="V10">
        <v>3548</v>
      </c>
      <c r="W10" s="14">
        <f t="shared" si="4"/>
        <v>4.0724</v>
      </c>
      <c r="X10" s="14">
        <f t="shared" si="5"/>
        <v>2.7701000000000002</v>
      </c>
      <c r="Y10" s="15">
        <f t="shared" si="6"/>
        <v>-0.26719999999999999</v>
      </c>
      <c r="Z10" s="14">
        <f t="shared" si="0"/>
        <v>13.666666666666666</v>
      </c>
      <c r="AA10" s="14">
        <f t="shared" si="1"/>
        <v>55.656133333333329</v>
      </c>
      <c r="AB10" s="14">
        <f t="shared" si="2"/>
        <v>37.858033333333331</v>
      </c>
      <c r="AC10" s="15">
        <f t="shared" si="3"/>
        <v>-3.6517333333333331</v>
      </c>
    </row>
    <row r="11" spans="1:29" x14ac:dyDescent="0.35">
      <c r="A11" s="2" t="s">
        <v>50</v>
      </c>
      <c r="B11" s="2">
        <v>26</v>
      </c>
      <c r="C11" s="2" t="s">
        <v>51</v>
      </c>
      <c r="D11" s="2" t="s">
        <v>27</v>
      </c>
      <c r="E11" s="2" t="s">
        <v>28</v>
      </c>
      <c r="F11" s="2" t="s">
        <v>42</v>
      </c>
      <c r="G11" s="2">
        <v>2023</v>
      </c>
      <c r="H11" s="4">
        <v>45139</v>
      </c>
      <c r="I11" s="4"/>
      <c r="J11" s="6">
        <v>17</v>
      </c>
      <c r="K11" s="10" t="s">
        <v>52</v>
      </c>
      <c r="L11" s="6">
        <v>6</v>
      </c>
      <c r="M11" s="10" t="s">
        <v>52</v>
      </c>
      <c r="N11" s="7">
        <v>42.2</v>
      </c>
      <c r="O11" s="10" t="s">
        <v>52</v>
      </c>
      <c r="P11" s="8">
        <v>3.1899999999999998E-2</v>
      </c>
      <c r="Q11" s="10" t="s">
        <v>52</v>
      </c>
      <c r="R11" s="9">
        <v>4.6406000000000001</v>
      </c>
      <c r="S11" s="10" t="s">
        <v>52</v>
      </c>
      <c r="T11" s="9">
        <v>4.7678000000000003</v>
      </c>
      <c r="U11" s="10" t="s">
        <v>52</v>
      </c>
      <c r="V11">
        <v>21541</v>
      </c>
      <c r="W11" s="14" t="str">
        <f t="shared" si="4"/>
        <v/>
      </c>
      <c r="X11" s="14" t="str">
        <f t="shared" si="5"/>
        <v/>
      </c>
      <c r="Y11" s="15" t="str">
        <f t="shared" si="6"/>
        <v/>
      </c>
      <c r="Z11" s="14" t="str">
        <f t="shared" si="0"/>
        <v/>
      </c>
      <c r="AA11" s="14" t="str">
        <f t="shared" si="1"/>
        <v/>
      </c>
      <c r="AB11" s="14" t="str">
        <f t="shared" si="2"/>
        <v/>
      </c>
      <c r="AC11" s="15" t="str">
        <f t="shared" si="3"/>
        <v/>
      </c>
    </row>
    <row r="12" spans="1:29" x14ac:dyDescent="0.35">
      <c r="A12" s="2" t="s">
        <v>53</v>
      </c>
      <c r="B12" s="2">
        <v>28</v>
      </c>
      <c r="C12" s="2" t="s">
        <v>54</v>
      </c>
      <c r="D12" s="2" t="s">
        <v>27</v>
      </c>
      <c r="E12" s="2" t="s">
        <v>28</v>
      </c>
      <c r="F12" s="2" t="s">
        <v>55</v>
      </c>
      <c r="G12" s="2">
        <v>2023</v>
      </c>
      <c r="H12" s="4">
        <v>45133</v>
      </c>
      <c r="I12" s="4">
        <v>45551</v>
      </c>
      <c r="J12" s="6">
        <v>59</v>
      </c>
      <c r="K12" s="6">
        <v>90</v>
      </c>
      <c r="L12" s="6">
        <v>59</v>
      </c>
      <c r="M12" s="6">
        <v>26</v>
      </c>
      <c r="N12" s="7">
        <v>322.10000000000002</v>
      </c>
      <c r="O12" s="7">
        <v>215.2</v>
      </c>
      <c r="P12" s="8">
        <v>9.1600000000000001E-2</v>
      </c>
      <c r="Q12" s="8">
        <v>0.06</v>
      </c>
      <c r="R12" s="9">
        <v>4.3837000000000002</v>
      </c>
      <c r="S12" s="9">
        <v>5.7588999999999997</v>
      </c>
      <c r="T12" s="9">
        <v>3.9544000000000001</v>
      </c>
      <c r="U12" s="9">
        <v>4.9595000000000002</v>
      </c>
      <c r="V12">
        <v>15488</v>
      </c>
      <c r="W12" s="14">
        <f t="shared" si="4"/>
        <v>1.3751999999999995</v>
      </c>
      <c r="X12" s="14">
        <f t="shared" si="5"/>
        <v>1.0051000000000001</v>
      </c>
      <c r="Y12" s="15">
        <f t="shared" si="6"/>
        <v>-3.1600000000000003E-2</v>
      </c>
      <c r="Z12" s="14">
        <f t="shared" si="0"/>
        <v>215.66666666666666</v>
      </c>
      <c r="AA12" s="14">
        <f t="shared" si="1"/>
        <v>296.58479999999986</v>
      </c>
      <c r="AB12" s="14">
        <f t="shared" si="2"/>
        <v>216.76656666666668</v>
      </c>
      <c r="AC12" s="15">
        <f t="shared" si="3"/>
        <v>-6.8150666666666666</v>
      </c>
    </row>
    <row r="13" spans="1:29" x14ac:dyDescent="0.35">
      <c r="A13" s="2" t="s">
        <v>56</v>
      </c>
      <c r="B13" s="2">
        <v>30</v>
      </c>
      <c r="C13" s="2" t="s">
        <v>57</v>
      </c>
      <c r="D13" s="2" t="s">
        <v>27</v>
      </c>
      <c r="E13" s="2" t="s">
        <v>28</v>
      </c>
      <c r="F13" s="2" t="s">
        <v>58</v>
      </c>
      <c r="G13" s="2">
        <v>2023</v>
      </c>
      <c r="H13" s="4">
        <v>45126</v>
      </c>
      <c r="I13" s="4">
        <v>45928</v>
      </c>
      <c r="J13" s="6">
        <v>14</v>
      </c>
      <c r="K13" s="6">
        <v>1</v>
      </c>
      <c r="L13" s="6">
        <v>2</v>
      </c>
      <c r="M13" s="6">
        <v>1</v>
      </c>
      <c r="N13" s="7">
        <v>24.1</v>
      </c>
      <c r="O13" s="7">
        <v>6.2</v>
      </c>
      <c r="P13" s="8">
        <v>0.16669999999999999</v>
      </c>
      <c r="Q13" s="8">
        <v>0.17860000000000001</v>
      </c>
      <c r="R13" s="9">
        <v>10.726000000000001</v>
      </c>
      <c r="S13" s="9">
        <v>4.05</v>
      </c>
      <c r="T13" s="9">
        <v>5.2672999999999996</v>
      </c>
      <c r="U13" s="9">
        <v>4.04</v>
      </c>
      <c r="V13">
        <v>15463</v>
      </c>
      <c r="W13" s="14">
        <f t="shared" si="4"/>
        <v>-6.676000000000001</v>
      </c>
      <c r="X13" s="14">
        <f t="shared" si="5"/>
        <v>-1.2272999999999996</v>
      </c>
      <c r="Y13" s="15">
        <f t="shared" si="6"/>
        <v>1.1900000000000022E-2</v>
      </c>
      <c r="Z13" s="14">
        <f t="shared" si="0"/>
        <v>6.666666666666667</v>
      </c>
      <c r="AA13" s="14">
        <f t="shared" si="1"/>
        <v>-44.506666666666675</v>
      </c>
      <c r="AB13" s="14">
        <f t="shared" si="2"/>
        <v>-8.1819999999999986</v>
      </c>
      <c r="AC13" s="15">
        <f t="shared" si="3"/>
        <v>7.9333333333333478E-2</v>
      </c>
    </row>
    <row r="14" spans="1:29" x14ac:dyDescent="0.35">
      <c r="A14" s="2" t="s">
        <v>59</v>
      </c>
      <c r="B14" s="2">
        <v>25</v>
      </c>
      <c r="C14" s="2" t="s">
        <v>44</v>
      </c>
      <c r="D14" s="2" t="s">
        <v>27</v>
      </c>
      <c r="E14" s="2" t="s">
        <v>28</v>
      </c>
      <c r="F14" s="2" t="s">
        <v>42</v>
      </c>
      <c r="G14" s="2">
        <v>2023</v>
      </c>
      <c r="H14" s="4">
        <v>45125</v>
      </c>
      <c r="I14" s="4">
        <v>45748</v>
      </c>
      <c r="J14" s="6">
        <v>23</v>
      </c>
      <c r="K14" s="6">
        <v>56</v>
      </c>
      <c r="L14" s="6">
        <v>21</v>
      </c>
      <c r="M14" s="6">
        <v>54</v>
      </c>
      <c r="N14" s="7">
        <v>109</v>
      </c>
      <c r="O14" s="7">
        <v>278</v>
      </c>
      <c r="P14" s="8">
        <v>0.16220000000000001</v>
      </c>
      <c r="Q14" s="8">
        <v>0.1336</v>
      </c>
      <c r="R14" s="9">
        <v>3.1375999999999999</v>
      </c>
      <c r="S14" s="9">
        <v>4.8236999999999997</v>
      </c>
      <c r="T14" s="9">
        <v>4.2754000000000003</v>
      </c>
      <c r="U14" s="9">
        <v>4.2249999999999996</v>
      </c>
      <c r="V14">
        <v>19716</v>
      </c>
      <c r="W14" s="14">
        <f t="shared" si="4"/>
        <v>1.6860999999999997</v>
      </c>
      <c r="X14" s="14">
        <f t="shared" si="5"/>
        <v>-5.0400000000000666E-2</v>
      </c>
      <c r="Y14" s="15">
        <f t="shared" si="6"/>
        <v>-2.8600000000000014E-2</v>
      </c>
      <c r="Z14" s="14">
        <f t="shared" si="0"/>
        <v>109</v>
      </c>
      <c r="AA14" s="14">
        <f t="shared" si="1"/>
        <v>183.78489999999996</v>
      </c>
      <c r="AB14" s="14">
        <f t="shared" si="2"/>
        <v>-5.4936000000000726</v>
      </c>
      <c r="AC14" s="15">
        <f t="shared" si="3"/>
        <v>-3.1174000000000017</v>
      </c>
    </row>
    <row r="15" spans="1:29" x14ac:dyDescent="0.35">
      <c r="A15" s="2" t="s">
        <v>60</v>
      </c>
      <c r="B15" s="2">
        <v>27</v>
      </c>
      <c r="C15" s="2" t="s">
        <v>61</v>
      </c>
      <c r="D15" s="2" t="s">
        <v>27</v>
      </c>
      <c r="E15" s="2" t="s">
        <v>28</v>
      </c>
      <c r="F15" s="2" t="s">
        <v>62</v>
      </c>
      <c r="G15" s="2">
        <v>2023</v>
      </c>
      <c r="H15" s="4">
        <v>45114</v>
      </c>
      <c r="I15" s="4">
        <v>45902</v>
      </c>
      <c r="J15" s="6">
        <v>47</v>
      </c>
      <c r="K15" s="6">
        <v>25</v>
      </c>
      <c r="L15" s="6">
        <v>6</v>
      </c>
      <c r="M15" s="6">
        <v>0</v>
      </c>
      <c r="N15" s="7">
        <v>68.2</v>
      </c>
      <c r="O15" s="7">
        <v>23</v>
      </c>
      <c r="P15" s="8">
        <v>8.9099999999999999E-2</v>
      </c>
      <c r="Q15" s="8">
        <v>9.9000000000000005E-2</v>
      </c>
      <c r="R15" s="9">
        <v>5.5049000000000001</v>
      </c>
      <c r="S15" s="9">
        <v>3.9129999999999998</v>
      </c>
      <c r="T15" s="9">
        <v>4.2986000000000004</v>
      </c>
      <c r="U15" s="9">
        <v>4.2744999999999997</v>
      </c>
      <c r="V15">
        <v>19754</v>
      </c>
      <c r="W15" s="14">
        <f t="shared" si="4"/>
        <v>-1.5919000000000003</v>
      </c>
      <c r="X15" s="14">
        <f t="shared" si="5"/>
        <v>-2.4100000000000676E-2</v>
      </c>
      <c r="Y15" s="15">
        <f t="shared" si="6"/>
        <v>9.900000000000006E-3</v>
      </c>
      <c r="Z15" s="14">
        <f t="shared" si="0"/>
        <v>23</v>
      </c>
      <c r="AA15" s="14">
        <f t="shared" si="1"/>
        <v>-36.613700000000009</v>
      </c>
      <c r="AB15" s="14">
        <f t="shared" si="2"/>
        <v>-0.55430000000001556</v>
      </c>
      <c r="AC15" s="15">
        <f t="shared" si="3"/>
        <v>0.22770000000000012</v>
      </c>
    </row>
    <row r="16" spans="1:29" x14ac:dyDescent="0.35">
      <c r="A16" s="2" t="s">
        <v>63</v>
      </c>
      <c r="B16" s="2">
        <v>29</v>
      </c>
      <c r="C16" s="2" t="s">
        <v>64</v>
      </c>
      <c r="D16" s="2" t="s">
        <v>27</v>
      </c>
      <c r="E16" s="2" t="s">
        <v>28</v>
      </c>
      <c r="F16" s="2" t="s">
        <v>42</v>
      </c>
      <c r="G16" s="2">
        <v>2023</v>
      </c>
      <c r="H16" s="4">
        <v>45108</v>
      </c>
      <c r="I16" s="4">
        <v>45743</v>
      </c>
      <c r="J16" s="6">
        <v>64</v>
      </c>
      <c r="K16" s="6">
        <v>15</v>
      </c>
      <c r="L16" s="6">
        <v>1</v>
      </c>
      <c r="M16" s="6">
        <v>0</v>
      </c>
      <c r="N16" s="7">
        <v>69.099999999999994</v>
      </c>
      <c r="O16" s="7">
        <v>12.2</v>
      </c>
      <c r="P16" s="8">
        <v>0.2132</v>
      </c>
      <c r="Q16" s="8">
        <v>0.127</v>
      </c>
      <c r="R16" s="9">
        <v>2.9855999999999998</v>
      </c>
      <c r="S16" s="9">
        <v>7.8158000000000003</v>
      </c>
      <c r="T16" s="9">
        <v>3.1</v>
      </c>
      <c r="U16" s="9">
        <v>5.58</v>
      </c>
      <c r="V16">
        <v>25174</v>
      </c>
      <c r="W16" s="14">
        <f t="shared" si="4"/>
        <v>4.8302000000000005</v>
      </c>
      <c r="X16" s="14">
        <f t="shared" si="5"/>
        <v>2.48</v>
      </c>
      <c r="Y16" s="15">
        <f t="shared" si="6"/>
        <v>-8.6199999999999999E-2</v>
      </c>
      <c r="Z16" s="14">
        <f t="shared" si="0"/>
        <v>12.666666666666666</v>
      </c>
      <c r="AA16" s="14">
        <f t="shared" si="1"/>
        <v>61.182533333333339</v>
      </c>
      <c r="AB16" s="14">
        <f t="shared" si="2"/>
        <v>31.41333333333333</v>
      </c>
      <c r="AC16" s="15">
        <f t="shared" si="3"/>
        <v>-1.0918666666666665</v>
      </c>
    </row>
    <row r="17" spans="1:29" x14ac:dyDescent="0.35">
      <c r="A17" s="2" t="s">
        <v>65</v>
      </c>
      <c r="B17" s="2">
        <v>32</v>
      </c>
      <c r="C17" s="2" t="s">
        <v>66</v>
      </c>
      <c r="D17" s="2" t="s">
        <v>27</v>
      </c>
      <c r="E17" s="2" t="s">
        <v>36</v>
      </c>
      <c r="F17" s="2" t="s">
        <v>42</v>
      </c>
      <c r="G17" s="2">
        <v>2023</v>
      </c>
      <c r="H17" s="4">
        <v>45105</v>
      </c>
      <c r="I17" s="4">
        <v>45517</v>
      </c>
      <c r="J17" s="6">
        <v>37</v>
      </c>
      <c r="K17" s="6">
        <v>61</v>
      </c>
      <c r="L17" s="6">
        <v>27</v>
      </c>
      <c r="M17" s="6">
        <v>61</v>
      </c>
      <c r="N17" s="7">
        <v>152.1</v>
      </c>
      <c r="O17" s="7">
        <v>346</v>
      </c>
      <c r="P17" s="8">
        <v>0.13159999999999999</v>
      </c>
      <c r="Q17" s="8">
        <v>0.1439</v>
      </c>
      <c r="R17" s="9">
        <v>4.7855999999999996</v>
      </c>
      <c r="S17" s="9">
        <v>3.4075000000000002</v>
      </c>
      <c r="T17" s="9">
        <v>4.6856999999999998</v>
      </c>
      <c r="U17" s="9">
        <v>3.8136999999999999</v>
      </c>
      <c r="V17">
        <v>15440</v>
      </c>
      <c r="W17" s="14">
        <f t="shared" si="4"/>
        <v>-1.3780999999999994</v>
      </c>
      <c r="X17" s="14">
        <f t="shared" si="5"/>
        <v>-0.87199999999999989</v>
      </c>
      <c r="Y17" s="15">
        <f t="shared" si="6"/>
        <v>1.2300000000000005E-2</v>
      </c>
      <c r="Z17" s="14">
        <f t="shared" si="0"/>
        <v>152.33333333333334</v>
      </c>
      <c r="AA17" s="14">
        <f t="shared" si="1"/>
        <v>-209.93056666666661</v>
      </c>
      <c r="AB17" s="14">
        <f t="shared" si="2"/>
        <v>-132.83466666666666</v>
      </c>
      <c r="AC17" s="15">
        <f t="shared" si="3"/>
        <v>1.873700000000001</v>
      </c>
    </row>
    <row r="18" spans="1:29" x14ac:dyDescent="0.35">
      <c r="A18" s="2" t="s">
        <v>67</v>
      </c>
      <c r="B18" s="2">
        <v>35</v>
      </c>
      <c r="C18" s="2" t="s">
        <v>68</v>
      </c>
      <c r="D18" s="2" t="s">
        <v>27</v>
      </c>
      <c r="E18" s="2" t="s">
        <v>28</v>
      </c>
      <c r="F18" s="2" t="s">
        <v>42</v>
      </c>
      <c r="G18" s="2">
        <v>2023</v>
      </c>
      <c r="H18" s="4">
        <v>45089</v>
      </c>
      <c r="I18" s="4">
        <v>45548</v>
      </c>
      <c r="J18" s="6">
        <v>38</v>
      </c>
      <c r="K18" s="6">
        <v>64</v>
      </c>
      <c r="L18" s="6">
        <v>38</v>
      </c>
      <c r="M18" s="6">
        <v>64</v>
      </c>
      <c r="N18" s="7">
        <v>224.1</v>
      </c>
      <c r="O18" s="7">
        <v>346</v>
      </c>
      <c r="P18" s="8">
        <v>0.37909999999999999</v>
      </c>
      <c r="Q18" s="8">
        <v>0.2288</v>
      </c>
      <c r="R18" s="9">
        <v>2.0461</v>
      </c>
      <c r="S18" s="9">
        <v>3.5116000000000001</v>
      </c>
      <c r="T18" s="9">
        <v>1.8044</v>
      </c>
      <c r="U18" s="9">
        <v>3.3500999999999999</v>
      </c>
      <c r="V18">
        <v>10954</v>
      </c>
      <c r="W18" s="14">
        <f t="shared" si="4"/>
        <v>1.4655</v>
      </c>
      <c r="X18" s="14">
        <f t="shared" si="5"/>
        <v>1.5456999999999999</v>
      </c>
      <c r="Y18" s="15">
        <f t="shared" si="6"/>
        <v>-0.15029999999999999</v>
      </c>
      <c r="Z18" s="14">
        <f t="shared" si="0"/>
        <v>224.33333333333334</v>
      </c>
      <c r="AA18" s="14">
        <f t="shared" si="1"/>
        <v>328.76050000000004</v>
      </c>
      <c r="AB18" s="14">
        <f t="shared" si="2"/>
        <v>346.75203333333332</v>
      </c>
      <c r="AC18" s="15">
        <f t="shared" si="3"/>
        <v>-33.717300000000002</v>
      </c>
    </row>
    <row r="19" spans="1:29" x14ac:dyDescent="0.35">
      <c r="A19" s="2" t="s">
        <v>69</v>
      </c>
      <c r="B19" s="2">
        <v>29</v>
      </c>
      <c r="C19" s="2" t="s">
        <v>61</v>
      </c>
      <c r="D19" s="2" t="s">
        <v>27</v>
      </c>
      <c r="E19" s="2" t="s">
        <v>28</v>
      </c>
      <c r="F19" s="2" t="s">
        <v>42</v>
      </c>
      <c r="G19" s="2">
        <v>2023</v>
      </c>
      <c r="H19" s="4">
        <v>45069</v>
      </c>
      <c r="I19" s="4"/>
      <c r="J19" s="6">
        <v>15</v>
      </c>
      <c r="K19" s="10" t="s">
        <v>52</v>
      </c>
      <c r="L19" s="6">
        <v>7</v>
      </c>
      <c r="M19" s="10" t="s">
        <v>52</v>
      </c>
      <c r="N19" s="7">
        <v>48.1</v>
      </c>
      <c r="O19" s="10" t="s">
        <v>52</v>
      </c>
      <c r="P19" s="8">
        <v>6.9500000000000006E-2</v>
      </c>
      <c r="Q19" s="10" t="s">
        <v>52</v>
      </c>
      <c r="R19" s="9">
        <v>3.3517000000000001</v>
      </c>
      <c r="S19" s="10" t="s">
        <v>52</v>
      </c>
      <c r="T19" s="9">
        <v>3.7330000000000001</v>
      </c>
      <c r="U19" s="10" t="s">
        <v>52</v>
      </c>
      <c r="V19">
        <v>18376</v>
      </c>
      <c r="W19" s="14" t="str">
        <f t="shared" si="4"/>
        <v/>
      </c>
      <c r="X19" s="14" t="str">
        <f t="shared" si="5"/>
        <v/>
      </c>
      <c r="Y19" s="15" t="str">
        <f t="shared" si="6"/>
        <v/>
      </c>
      <c r="Z19" s="14" t="str">
        <f t="shared" si="0"/>
        <v/>
      </c>
      <c r="AA19" s="14" t="str">
        <f t="shared" si="1"/>
        <v/>
      </c>
      <c r="AB19" s="14" t="str">
        <f t="shared" si="2"/>
        <v/>
      </c>
      <c r="AC19" s="15" t="str">
        <f t="shared" si="3"/>
        <v/>
      </c>
    </row>
    <row r="20" spans="1:29" x14ac:dyDescent="0.35">
      <c r="A20" s="2" t="s">
        <v>70</v>
      </c>
      <c r="B20" s="2">
        <v>28</v>
      </c>
      <c r="C20" s="2" t="s">
        <v>57</v>
      </c>
      <c r="D20" s="2" t="s">
        <v>27</v>
      </c>
      <c r="E20" s="2" t="s">
        <v>28</v>
      </c>
      <c r="F20" s="2" t="s">
        <v>42</v>
      </c>
      <c r="G20" s="2">
        <v>2023</v>
      </c>
      <c r="H20" s="4">
        <v>45068</v>
      </c>
      <c r="I20" s="4">
        <v>45510</v>
      </c>
      <c r="J20" s="6">
        <v>66</v>
      </c>
      <c r="K20" s="6">
        <v>46</v>
      </c>
      <c r="L20" s="6">
        <v>65</v>
      </c>
      <c r="M20" s="6">
        <v>46</v>
      </c>
      <c r="N20" s="7">
        <v>348.1</v>
      </c>
      <c r="O20" s="7">
        <v>248.1</v>
      </c>
      <c r="P20" s="8">
        <v>0.1832</v>
      </c>
      <c r="Q20" s="8">
        <v>0.13189999999999999</v>
      </c>
      <c r="R20" s="9">
        <v>3.9531000000000001</v>
      </c>
      <c r="S20" s="9">
        <v>3.4066999999999998</v>
      </c>
      <c r="T20" s="9">
        <v>3.8351999999999999</v>
      </c>
      <c r="U20" s="9">
        <v>3.7639</v>
      </c>
      <c r="V20">
        <v>16358</v>
      </c>
      <c r="W20" s="14">
        <f t="shared" si="4"/>
        <v>-0.54640000000000022</v>
      </c>
      <c r="X20" s="14">
        <f t="shared" si="5"/>
        <v>-7.1299999999999919E-2</v>
      </c>
      <c r="Y20" s="15">
        <f t="shared" si="6"/>
        <v>-5.1300000000000012E-2</v>
      </c>
      <c r="Z20" s="14">
        <f t="shared" si="0"/>
        <v>248.33333333333334</v>
      </c>
      <c r="AA20" s="14">
        <f t="shared" si="1"/>
        <v>-135.68933333333339</v>
      </c>
      <c r="AB20" s="14">
        <f t="shared" si="2"/>
        <v>-17.706166666666647</v>
      </c>
      <c r="AC20" s="15">
        <f t="shared" si="3"/>
        <v>-12.739500000000003</v>
      </c>
    </row>
    <row r="21" spans="1:29" x14ac:dyDescent="0.35">
      <c r="A21" s="2" t="s">
        <v>71</v>
      </c>
      <c r="B21" s="2">
        <v>26</v>
      </c>
      <c r="C21" s="2" t="s">
        <v>72</v>
      </c>
      <c r="D21" s="2" t="s">
        <v>27</v>
      </c>
      <c r="E21" s="2" t="s">
        <v>28</v>
      </c>
      <c r="F21" s="2" t="s">
        <v>55</v>
      </c>
      <c r="G21" s="2">
        <v>2023</v>
      </c>
      <c r="H21" s="4">
        <v>45065</v>
      </c>
      <c r="I21" s="4">
        <v>45901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W21" s="14" t="str">
        <f t="shared" si="4"/>
        <v/>
      </c>
      <c r="X21" s="14" t="str">
        <f t="shared" si="5"/>
        <v/>
      </c>
      <c r="Y21" s="15" t="str">
        <f t="shared" si="6"/>
        <v/>
      </c>
      <c r="Z21" s="14" t="str">
        <f t="shared" si="0"/>
        <v/>
      </c>
      <c r="AA21" s="14" t="str">
        <f t="shared" si="1"/>
        <v/>
      </c>
      <c r="AB21" s="14" t="str">
        <f t="shared" si="2"/>
        <v/>
      </c>
      <c r="AC21" s="15" t="str">
        <f t="shared" si="3"/>
        <v/>
      </c>
    </row>
    <row r="22" spans="1:29" x14ac:dyDescent="0.35">
      <c r="A22" s="2" t="s">
        <v>73</v>
      </c>
      <c r="B22" s="2">
        <v>27</v>
      </c>
      <c r="C22" s="2" t="s">
        <v>38</v>
      </c>
      <c r="D22" s="2" t="s">
        <v>27</v>
      </c>
      <c r="E22" s="2" t="s">
        <v>36</v>
      </c>
      <c r="F22" s="2" t="s">
        <v>55</v>
      </c>
      <c r="G22" s="2">
        <v>2023</v>
      </c>
      <c r="H22" s="4">
        <v>45063</v>
      </c>
      <c r="I22" s="4">
        <v>45497</v>
      </c>
      <c r="J22" s="6">
        <v>74</v>
      </c>
      <c r="K22" s="6">
        <v>24</v>
      </c>
      <c r="L22" s="6">
        <v>0</v>
      </c>
      <c r="M22" s="6">
        <v>0</v>
      </c>
      <c r="N22" s="7">
        <v>70</v>
      </c>
      <c r="O22" s="7">
        <v>20.2</v>
      </c>
      <c r="P22" s="8">
        <v>0.19400000000000001</v>
      </c>
      <c r="Q22" s="8">
        <v>8.6999999999999994E-2</v>
      </c>
      <c r="R22" s="9">
        <v>4.3714000000000004</v>
      </c>
      <c r="S22" s="9">
        <v>3.0484</v>
      </c>
      <c r="T22" s="9">
        <v>3.6798000000000002</v>
      </c>
      <c r="U22" s="9">
        <v>4.2252000000000001</v>
      </c>
      <c r="V22">
        <v>19200</v>
      </c>
      <c r="W22" s="14">
        <f t="shared" si="4"/>
        <v>-1.3230000000000004</v>
      </c>
      <c r="X22" s="14">
        <f t="shared" si="5"/>
        <v>0.54539999999999988</v>
      </c>
      <c r="Y22" s="15">
        <f t="shared" si="6"/>
        <v>-0.10700000000000001</v>
      </c>
      <c r="Z22" s="14">
        <f t="shared" si="0"/>
        <v>20.666666666666668</v>
      </c>
      <c r="AA22" s="14">
        <f t="shared" si="1"/>
        <v>-27.342000000000009</v>
      </c>
      <c r="AB22" s="14">
        <f t="shared" si="2"/>
        <v>11.271599999999998</v>
      </c>
      <c r="AC22" s="15">
        <f t="shared" si="3"/>
        <v>-2.2113333333333336</v>
      </c>
    </row>
    <row r="23" spans="1:29" x14ac:dyDescent="0.35">
      <c r="A23" s="2" t="s">
        <v>74</v>
      </c>
      <c r="B23" s="2">
        <v>27</v>
      </c>
      <c r="C23" s="2" t="s">
        <v>38</v>
      </c>
      <c r="D23" s="2" t="s">
        <v>27</v>
      </c>
      <c r="E23" s="2" t="s">
        <v>28</v>
      </c>
      <c r="F23" s="2" t="s">
        <v>42</v>
      </c>
      <c r="G23" s="2">
        <v>2023</v>
      </c>
      <c r="H23" s="4">
        <v>45063</v>
      </c>
      <c r="I23" s="4">
        <v>45532</v>
      </c>
      <c r="J23" s="6">
        <v>30</v>
      </c>
      <c r="K23" s="6">
        <v>52</v>
      </c>
      <c r="L23" s="6">
        <v>0</v>
      </c>
      <c r="M23" s="6">
        <v>2</v>
      </c>
      <c r="N23" s="7">
        <v>36.1</v>
      </c>
      <c r="O23" s="7">
        <v>70.099999999999994</v>
      </c>
      <c r="P23" s="8">
        <v>0.1234</v>
      </c>
      <c r="Q23" s="8">
        <v>0.13009999999999999</v>
      </c>
      <c r="R23" s="9">
        <v>3.4679000000000002</v>
      </c>
      <c r="S23" s="9">
        <v>3.327</v>
      </c>
      <c r="T23" s="9">
        <v>3.53</v>
      </c>
      <c r="U23" s="9">
        <v>4.1082999999999998</v>
      </c>
      <c r="V23">
        <v>24937</v>
      </c>
      <c r="W23" s="14">
        <f t="shared" si="4"/>
        <v>-0.14090000000000025</v>
      </c>
      <c r="X23" s="14">
        <f t="shared" si="5"/>
        <v>0.57830000000000004</v>
      </c>
      <c r="Y23" s="15">
        <f t="shared" si="6"/>
        <v>6.6999999999999976E-3</v>
      </c>
      <c r="Z23" s="14">
        <f t="shared" si="0"/>
        <v>36.333333333333336</v>
      </c>
      <c r="AA23" s="14">
        <f t="shared" si="1"/>
        <v>-5.1193666666666759</v>
      </c>
      <c r="AB23" s="14">
        <f t="shared" si="2"/>
        <v>21.01156666666667</v>
      </c>
      <c r="AC23" s="15">
        <f t="shared" si="3"/>
        <v>0.24343333333333325</v>
      </c>
    </row>
    <row r="24" spans="1:29" x14ac:dyDescent="0.35">
      <c r="A24" s="2" t="s">
        <v>75</v>
      </c>
      <c r="B24" s="2">
        <v>28</v>
      </c>
      <c r="C24" s="2" t="s">
        <v>54</v>
      </c>
      <c r="D24" s="2" t="s">
        <v>27</v>
      </c>
      <c r="E24" s="2" t="s">
        <v>28</v>
      </c>
      <c r="F24" s="2" t="s">
        <v>55</v>
      </c>
      <c r="G24" s="2">
        <v>2023</v>
      </c>
      <c r="H24" s="4">
        <v>45058</v>
      </c>
      <c r="I24" s="4">
        <v>45487</v>
      </c>
      <c r="J24" s="6">
        <v>76</v>
      </c>
      <c r="K24" s="6">
        <v>40</v>
      </c>
      <c r="L24" s="6">
        <v>76</v>
      </c>
      <c r="M24" s="6">
        <v>37</v>
      </c>
      <c r="N24" s="7">
        <v>443.1</v>
      </c>
      <c r="O24" s="7">
        <v>183.1</v>
      </c>
      <c r="P24" s="8">
        <v>0.13150000000000001</v>
      </c>
      <c r="Q24" s="8">
        <v>5.5500000000000001E-2</v>
      </c>
      <c r="R24" s="9">
        <v>4.5068000000000001</v>
      </c>
      <c r="S24" s="9">
        <v>6.2835999999999999</v>
      </c>
      <c r="T24" s="9">
        <v>4.1014999999999997</v>
      </c>
      <c r="U24" s="9">
        <v>5.8529999999999998</v>
      </c>
      <c r="V24">
        <v>15038</v>
      </c>
      <c r="W24" s="14">
        <f t="shared" si="4"/>
        <v>1.7767999999999997</v>
      </c>
      <c r="X24" s="14">
        <f t="shared" si="5"/>
        <v>1.7515000000000001</v>
      </c>
      <c r="Y24" s="15">
        <f t="shared" si="6"/>
        <v>-7.6000000000000012E-2</v>
      </c>
      <c r="Z24" s="14">
        <f t="shared" si="0"/>
        <v>183.33333333333334</v>
      </c>
      <c r="AA24" s="14">
        <f t="shared" si="1"/>
        <v>325.74666666666661</v>
      </c>
      <c r="AB24" s="14">
        <f t="shared" si="2"/>
        <v>321.10833333333335</v>
      </c>
      <c r="AC24" s="15">
        <f t="shared" si="3"/>
        <v>-13.933333333333337</v>
      </c>
    </row>
    <row r="25" spans="1:29" x14ac:dyDescent="0.35">
      <c r="A25" s="2" t="s">
        <v>76</v>
      </c>
      <c r="B25" s="2">
        <v>31</v>
      </c>
      <c r="C25" s="2" t="s">
        <v>77</v>
      </c>
      <c r="D25" s="2" t="s">
        <v>27</v>
      </c>
      <c r="E25" s="2" t="s">
        <v>28</v>
      </c>
      <c r="F25" s="2" t="s">
        <v>42</v>
      </c>
      <c r="G25" s="2">
        <v>2023</v>
      </c>
      <c r="H25" s="4">
        <v>45049</v>
      </c>
      <c r="I25" s="4">
        <v>45745</v>
      </c>
      <c r="J25" s="6">
        <v>155</v>
      </c>
      <c r="K25" s="6">
        <v>52</v>
      </c>
      <c r="L25" s="6">
        <v>0</v>
      </c>
      <c r="M25" s="6">
        <v>2</v>
      </c>
      <c r="N25" s="7">
        <v>150.19999999999999</v>
      </c>
      <c r="O25" s="7">
        <v>53.2</v>
      </c>
      <c r="P25" s="8">
        <v>0.1409</v>
      </c>
      <c r="Q25" s="8">
        <v>7.8200000000000006E-2</v>
      </c>
      <c r="R25" s="9">
        <v>3.7633000000000001</v>
      </c>
      <c r="S25" s="9">
        <v>5.1988000000000003</v>
      </c>
      <c r="T25" s="9">
        <v>3.7483</v>
      </c>
      <c r="U25" s="9">
        <v>4.976</v>
      </c>
      <c r="V25">
        <v>15043</v>
      </c>
      <c r="W25" s="14">
        <f t="shared" si="4"/>
        <v>1.4355000000000002</v>
      </c>
      <c r="X25" s="14">
        <f t="shared" si="5"/>
        <v>1.2277</v>
      </c>
      <c r="Y25" s="15">
        <f t="shared" si="6"/>
        <v>-6.2699999999999992E-2</v>
      </c>
      <c r="Z25" s="14">
        <f t="shared" si="0"/>
        <v>53.666666666666664</v>
      </c>
      <c r="AA25" s="14">
        <f t="shared" si="1"/>
        <v>77.038500000000013</v>
      </c>
      <c r="AB25" s="14">
        <f t="shared" si="2"/>
        <v>65.886566666666667</v>
      </c>
      <c r="AC25" s="15">
        <f t="shared" si="3"/>
        <v>-3.3648999999999996</v>
      </c>
    </row>
    <row r="26" spans="1:29" x14ac:dyDescent="0.35">
      <c r="A26" s="2" t="s">
        <v>78</v>
      </c>
      <c r="B26" s="2">
        <v>31</v>
      </c>
      <c r="C26" s="2" t="s">
        <v>64</v>
      </c>
      <c r="D26" s="2" t="s">
        <v>27</v>
      </c>
      <c r="E26" s="2" t="s">
        <v>36</v>
      </c>
      <c r="F26" s="2" t="s">
        <v>42</v>
      </c>
      <c r="G26" s="2">
        <v>2023</v>
      </c>
      <c r="H26" s="4">
        <v>45049</v>
      </c>
      <c r="I26" s="4">
        <v>45497</v>
      </c>
      <c r="J26" s="6">
        <v>76</v>
      </c>
      <c r="K26" s="6">
        <v>70</v>
      </c>
      <c r="L26" s="6">
        <v>75</v>
      </c>
      <c r="M26" s="6">
        <v>69</v>
      </c>
      <c r="N26" s="7">
        <v>434</v>
      </c>
      <c r="O26" s="7">
        <v>378.2</v>
      </c>
      <c r="P26" s="8">
        <v>0.2051</v>
      </c>
      <c r="Q26" s="8">
        <v>0.1242</v>
      </c>
      <c r="R26" s="9">
        <v>3.6705000000000001</v>
      </c>
      <c r="S26" s="9">
        <v>3.7077</v>
      </c>
      <c r="T26" s="9">
        <v>4.2291999999999996</v>
      </c>
      <c r="U26" s="9">
        <v>4.3459000000000003</v>
      </c>
      <c r="V26">
        <v>11486</v>
      </c>
      <c r="W26" s="14">
        <f t="shared" si="4"/>
        <v>3.71999999999999E-2</v>
      </c>
      <c r="X26" s="14">
        <f t="shared" si="5"/>
        <v>0.11670000000000069</v>
      </c>
      <c r="Y26" s="15">
        <f t="shared" si="6"/>
        <v>-8.09E-2</v>
      </c>
      <c r="Z26" s="14">
        <f t="shared" si="0"/>
        <v>378.66666666666669</v>
      </c>
      <c r="AA26" s="14">
        <f t="shared" si="1"/>
        <v>14.086399999999962</v>
      </c>
      <c r="AB26" s="14">
        <f t="shared" si="2"/>
        <v>44.190400000000267</v>
      </c>
      <c r="AC26" s="15">
        <f t="shared" si="3"/>
        <v>-30.634133333333335</v>
      </c>
    </row>
    <row r="27" spans="1:29" x14ac:dyDescent="0.35">
      <c r="A27" s="2" t="s">
        <v>79</v>
      </c>
      <c r="B27" s="2">
        <v>25</v>
      </c>
      <c r="C27" s="2" t="s">
        <v>64</v>
      </c>
      <c r="D27" s="2" t="s">
        <v>27</v>
      </c>
      <c r="E27" s="2" t="s">
        <v>28</v>
      </c>
      <c r="F27" s="2" t="s">
        <v>42</v>
      </c>
      <c r="G27" s="2">
        <v>2023</v>
      </c>
      <c r="H27" s="4">
        <v>45047</v>
      </c>
      <c r="I27" s="4">
        <v>45798</v>
      </c>
      <c r="J27" s="6">
        <v>1</v>
      </c>
      <c r="K27" s="6">
        <v>18</v>
      </c>
      <c r="L27" s="6">
        <v>0</v>
      </c>
      <c r="M27" s="6">
        <v>0</v>
      </c>
      <c r="N27" s="7">
        <v>3</v>
      </c>
      <c r="O27" s="7">
        <v>26</v>
      </c>
      <c r="P27" s="8">
        <v>7.1400000000000005E-2</v>
      </c>
      <c r="Q27" s="8">
        <v>0.1053</v>
      </c>
      <c r="R27" s="9">
        <v>0</v>
      </c>
      <c r="S27" s="9">
        <v>6.2308000000000003</v>
      </c>
      <c r="T27" s="9">
        <v>2.4500000000000002</v>
      </c>
      <c r="U27" s="9">
        <v>4.5820999999999996</v>
      </c>
      <c r="V27">
        <v>22176</v>
      </c>
      <c r="W27" s="14">
        <f t="shared" si="4"/>
        <v>6.2308000000000003</v>
      </c>
      <c r="X27" s="14">
        <f t="shared" si="5"/>
        <v>2.1320999999999994</v>
      </c>
      <c r="Y27" s="15">
        <f t="shared" si="6"/>
        <v>3.39E-2</v>
      </c>
      <c r="Z27" s="14">
        <f t="shared" si="0"/>
        <v>3</v>
      </c>
      <c r="AA27" s="14">
        <f t="shared" si="1"/>
        <v>18.692399999999999</v>
      </c>
      <c r="AB27" s="14">
        <f t="shared" si="2"/>
        <v>6.3962999999999983</v>
      </c>
      <c r="AC27" s="15">
        <f t="shared" si="3"/>
        <v>0.1017</v>
      </c>
    </row>
    <row r="28" spans="1:29" x14ac:dyDescent="0.35">
      <c r="A28" s="2" t="s">
        <v>80</v>
      </c>
      <c r="B28" s="2">
        <v>30</v>
      </c>
      <c r="C28" s="2" t="s">
        <v>46</v>
      </c>
      <c r="D28" s="2" t="s">
        <v>27</v>
      </c>
      <c r="E28" s="2" t="s">
        <v>36</v>
      </c>
      <c r="F28" s="2" t="s">
        <v>42</v>
      </c>
      <c r="G28" s="2">
        <v>2023</v>
      </c>
      <c r="H28" s="4">
        <v>45047</v>
      </c>
      <c r="I28" s="4">
        <v>45503</v>
      </c>
      <c r="J28" s="6">
        <v>92</v>
      </c>
      <c r="K28" s="6">
        <v>68</v>
      </c>
      <c r="L28" s="6">
        <v>25</v>
      </c>
      <c r="M28" s="6">
        <v>66</v>
      </c>
      <c r="N28" s="7">
        <v>200.1</v>
      </c>
      <c r="O28" s="7">
        <v>346.2</v>
      </c>
      <c r="P28" s="8">
        <v>0.2213</v>
      </c>
      <c r="Q28" s="8">
        <v>0.1111</v>
      </c>
      <c r="R28" s="9">
        <v>3.1448</v>
      </c>
      <c r="S28" s="9">
        <v>4.8807999999999998</v>
      </c>
      <c r="T28" s="9">
        <v>3.4136000000000002</v>
      </c>
      <c r="U28" s="9">
        <v>5.15</v>
      </c>
      <c r="V28">
        <v>17677</v>
      </c>
      <c r="W28" s="14">
        <f t="shared" si="4"/>
        <v>1.7359999999999998</v>
      </c>
      <c r="X28" s="14">
        <f t="shared" si="5"/>
        <v>1.7364000000000002</v>
      </c>
      <c r="Y28" s="15">
        <f t="shared" si="6"/>
        <v>-0.11019999999999999</v>
      </c>
      <c r="Z28" s="14">
        <f t="shared" si="0"/>
        <v>200.33333333333334</v>
      </c>
      <c r="AA28" s="14">
        <f t="shared" si="1"/>
        <v>347.77866666666665</v>
      </c>
      <c r="AB28" s="14">
        <f t="shared" si="2"/>
        <v>347.85880000000003</v>
      </c>
      <c r="AC28" s="15">
        <f t="shared" si="3"/>
        <v>-22.076733333333333</v>
      </c>
    </row>
    <row r="29" spans="1:29" x14ac:dyDescent="0.35">
      <c r="A29" s="2" t="s">
        <v>81</v>
      </c>
      <c r="B29" s="2">
        <v>25</v>
      </c>
      <c r="C29" s="2" t="s">
        <v>82</v>
      </c>
      <c r="D29" s="2" t="s">
        <v>27</v>
      </c>
      <c r="E29" s="2" t="s">
        <v>36</v>
      </c>
      <c r="F29" s="2" t="s">
        <v>42</v>
      </c>
      <c r="G29" s="2">
        <v>2023</v>
      </c>
      <c r="H29" s="4">
        <v>45044</v>
      </c>
      <c r="I29" s="4">
        <v>45480</v>
      </c>
      <c r="J29" s="6">
        <v>67</v>
      </c>
      <c r="K29" s="6">
        <v>61</v>
      </c>
      <c r="L29" s="6">
        <v>57</v>
      </c>
      <c r="M29" s="6">
        <v>29</v>
      </c>
      <c r="N29" s="7">
        <v>309</v>
      </c>
      <c r="O29" s="7">
        <v>201.2</v>
      </c>
      <c r="P29" s="8">
        <v>9.4500000000000001E-2</v>
      </c>
      <c r="Q29" s="8">
        <v>0.17130000000000001</v>
      </c>
      <c r="R29" s="9">
        <v>4.8932000000000002</v>
      </c>
      <c r="S29" s="9">
        <v>2.9007999999999998</v>
      </c>
      <c r="T29" s="9">
        <v>4.9265999999999996</v>
      </c>
      <c r="U29" s="9">
        <v>2.9258999999999999</v>
      </c>
      <c r="V29">
        <v>21455</v>
      </c>
      <c r="W29" s="14">
        <f t="shared" si="4"/>
        <v>-1.9924000000000004</v>
      </c>
      <c r="X29" s="14">
        <f t="shared" si="5"/>
        <v>-2.0006999999999997</v>
      </c>
      <c r="Y29" s="15">
        <f t="shared" si="6"/>
        <v>7.6800000000000007E-2</v>
      </c>
      <c r="Z29" s="14">
        <f t="shared" si="0"/>
        <v>201.66666666666666</v>
      </c>
      <c r="AA29" s="14">
        <f t="shared" si="1"/>
        <v>-401.8006666666667</v>
      </c>
      <c r="AB29" s="14">
        <f t="shared" si="2"/>
        <v>-403.47449999999992</v>
      </c>
      <c r="AC29" s="15">
        <f t="shared" si="3"/>
        <v>15.488000000000001</v>
      </c>
    </row>
    <row r="30" spans="1:29" x14ac:dyDescent="0.35">
      <c r="A30" s="2" t="s">
        <v>83</v>
      </c>
      <c r="B30" s="2">
        <v>29</v>
      </c>
      <c r="C30" s="2" t="s">
        <v>26</v>
      </c>
      <c r="D30" s="2" t="s">
        <v>27</v>
      </c>
      <c r="E30" s="2" t="s">
        <v>28</v>
      </c>
      <c r="F30" s="2" t="s">
        <v>42</v>
      </c>
      <c r="G30" s="2">
        <v>2023</v>
      </c>
      <c r="H30" s="4">
        <v>45028</v>
      </c>
      <c r="I30" s="4">
        <v>45829</v>
      </c>
      <c r="J30" s="6">
        <v>63</v>
      </c>
      <c r="K30" s="6">
        <v>58</v>
      </c>
      <c r="L30" s="6">
        <v>61</v>
      </c>
      <c r="M30" s="6">
        <v>2</v>
      </c>
      <c r="N30" s="7">
        <v>315.2</v>
      </c>
      <c r="O30" s="7">
        <v>89</v>
      </c>
      <c r="P30" s="8">
        <v>0.15479999999999999</v>
      </c>
      <c r="Q30" s="8">
        <v>6.2700000000000006E-2</v>
      </c>
      <c r="R30" s="9">
        <v>4.9893999999999998</v>
      </c>
      <c r="S30" s="9">
        <v>3.6404000000000001</v>
      </c>
      <c r="T30" s="9">
        <v>4.4324000000000003</v>
      </c>
      <c r="U30" s="9">
        <v>3.8548</v>
      </c>
      <c r="V30">
        <v>17578</v>
      </c>
      <c r="W30" s="14">
        <f t="shared" si="4"/>
        <v>-1.3489999999999998</v>
      </c>
      <c r="X30" s="14">
        <f t="shared" si="5"/>
        <v>-0.57760000000000034</v>
      </c>
      <c r="Y30" s="15">
        <f t="shared" si="6"/>
        <v>-9.2099999999999987E-2</v>
      </c>
      <c r="Z30" s="14">
        <f t="shared" si="0"/>
        <v>89</v>
      </c>
      <c r="AA30" s="14">
        <f t="shared" si="1"/>
        <v>-120.06099999999998</v>
      </c>
      <c r="AB30" s="14">
        <f t="shared" si="2"/>
        <v>-51.406400000000033</v>
      </c>
      <c r="AC30" s="15">
        <f t="shared" si="3"/>
        <v>-8.1968999999999994</v>
      </c>
    </row>
    <row r="31" spans="1:29" x14ac:dyDescent="0.35">
      <c r="A31" s="2" t="s">
        <v>84</v>
      </c>
      <c r="B31" s="2">
        <v>24</v>
      </c>
      <c r="C31" s="2" t="s">
        <v>85</v>
      </c>
      <c r="D31" s="2" t="s">
        <v>27</v>
      </c>
      <c r="E31" s="2" t="s">
        <v>28</v>
      </c>
      <c r="F31" s="2" t="s">
        <v>42</v>
      </c>
      <c r="G31" s="2">
        <v>2023</v>
      </c>
      <c r="H31" s="4">
        <v>45007</v>
      </c>
      <c r="I31" s="4">
        <v>45875</v>
      </c>
      <c r="J31" s="6">
        <v>1</v>
      </c>
      <c r="K31" s="6">
        <v>42</v>
      </c>
      <c r="L31" s="6">
        <v>1</v>
      </c>
      <c r="M31" s="6">
        <v>42</v>
      </c>
      <c r="N31" s="7">
        <v>4.0999999999999996</v>
      </c>
      <c r="O31" s="7">
        <v>218.1</v>
      </c>
      <c r="P31" s="8">
        <v>0.1739</v>
      </c>
      <c r="Q31" s="8">
        <v>0.19139999999999999</v>
      </c>
      <c r="R31" s="9">
        <v>14.538500000000001</v>
      </c>
      <c r="S31" s="9">
        <v>3.2976999999999999</v>
      </c>
      <c r="T31" s="9">
        <v>3.8</v>
      </c>
      <c r="U31" s="9">
        <v>3.5352999999999999</v>
      </c>
      <c r="V31">
        <v>27473</v>
      </c>
      <c r="W31" s="14">
        <f t="shared" si="4"/>
        <v>-11.2408</v>
      </c>
      <c r="X31" s="14">
        <f t="shared" si="5"/>
        <v>-0.26469999999999994</v>
      </c>
      <c r="Y31" s="15">
        <f t="shared" si="6"/>
        <v>1.7499999999999988E-2</v>
      </c>
      <c r="Z31" s="14">
        <f t="shared" si="0"/>
        <v>4.333333333333333</v>
      </c>
      <c r="AA31" s="14">
        <f t="shared" si="1"/>
        <v>-48.710133333333332</v>
      </c>
      <c r="AB31" s="14">
        <f t="shared" si="2"/>
        <v>-1.1470333333333329</v>
      </c>
      <c r="AC31" s="15">
        <f t="shared" si="3"/>
        <v>7.583333333333328E-2</v>
      </c>
    </row>
    <row r="32" spans="1:29" x14ac:dyDescent="0.35">
      <c r="A32" s="2" t="s">
        <v>86</v>
      </c>
      <c r="B32" s="2">
        <v>27</v>
      </c>
      <c r="C32" s="2" t="s">
        <v>54</v>
      </c>
      <c r="D32" s="2" t="s">
        <v>27</v>
      </c>
      <c r="E32" s="2" t="s">
        <v>36</v>
      </c>
      <c r="F32" s="2" t="s">
        <v>42</v>
      </c>
      <c r="G32" s="2">
        <v>2023</v>
      </c>
      <c r="H32" s="4">
        <v>44999</v>
      </c>
      <c r="I32" s="4">
        <v>45520</v>
      </c>
      <c r="J32" s="6">
        <v>94</v>
      </c>
      <c r="K32" s="6">
        <v>4</v>
      </c>
      <c r="L32" s="6">
        <v>1</v>
      </c>
      <c r="M32" s="6">
        <v>0</v>
      </c>
      <c r="N32" s="7">
        <v>85.2</v>
      </c>
      <c r="O32" s="7">
        <v>2</v>
      </c>
      <c r="P32" s="8">
        <v>0.1183</v>
      </c>
      <c r="Q32" s="8">
        <v>6.25E-2</v>
      </c>
      <c r="R32" s="9">
        <v>3.7820999999999998</v>
      </c>
      <c r="S32" s="9">
        <v>31.5</v>
      </c>
      <c r="T32" s="9">
        <v>3.9235000000000002</v>
      </c>
      <c r="U32" s="9">
        <v>17.155000000000001</v>
      </c>
      <c r="V32">
        <v>21290</v>
      </c>
      <c r="W32" s="14">
        <f t="shared" si="4"/>
        <v>27.7179</v>
      </c>
      <c r="X32" s="14">
        <f t="shared" si="5"/>
        <v>13.2315</v>
      </c>
      <c r="Y32" s="15">
        <f t="shared" si="6"/>
        <v>-5.5800000000000002E-2</v>
      </c>
      <c r="Z32" s="14">
        <f t="shared" si="0"/>
        <v>2</v>
      </c>
      <c r="AA32" s="14">
        <f t="shared" si="1"/>
        <v>55.4358</v>
      </c>
      <c r="AB32" s="14">
        <f t="shared" si="2"/>
        <v>26.463000000000001</v>
      </c>
      <c r="AC32" s="15">
        <f t="shared" si="3"/>
        <v>-0.1116</v>
      </c>
    </row>
    <row r="33" spans="1:29" x14ac:dyDescent="0.35">
      <c r="A33" s="2" t="s">
        <v>87</v>
      </c>
      <c r="B33" s="2">
        <v>28</v>
      </c>
      <c r="C33" s="2" t="s">
        <v>77</v>
      </c>
      <c r="D33" s="2" t="s">
        <v>27</v>
      </c>
      <c r="E33" s="2" t="s">
        <v>28</v>
      </c>
      <c r="F33" s="2" t="s">
        <v>42</v>
      </c>
      <c r="G33" s="2">
        <v>2022</v>
      </c>
      <c r="H33" s="4">
        <v>44847</v>
      </c>
      <c r="I33" s="4">
        <v>45536</v>
      </c>
      <c r="J33" s="6">
        <v>14</v>
      </c>
      <c r="K33" s="6">
        <v>14</v>
      </c>
      <c r="L33" s="6">
        <v>0</v>
      </c>
      <c r="M33" s="6">
        <v>0</v>
      </c>
      <c r="N33" s="7">
        <v>14.2</v>
      </c>
      <c r="O33" s="7">
        <v>14</v>
      </c>
      <c r="P33" s="8">
        <v>0.29310000000000003</v>
      </c>
      <c r="Q33" s="8">
        <v>4.6199999999999998E-2</v>
      </c>
      <c r="R33" s="9">
        <v>3.6818</v>
      </c>
      <c r="S33" s="9">
        <v>7.7142999999999997</v>
      </c>
      <c r="T33" s="9">
        <v>3.31</v>
      </c>
      <c r="U33" s="9">
        <v>4.9271000000000003</v>
      </c>
      <c r="V33">
        <v>18384</v>
      </c>
      <c r="W33" s="14">
        <f t="shared" si="4"/>
        <v>4.0324999999999998</v>
      </c>
      <c r="X33" s="14">
        <f t="shared" si="5"/>
        <v>1.6171000000000002</v>
      </c>
      <c r="Y33" s="15">
        <f t="shared" si="6"/>
        <v>-0.24690000000000004</v>
      </c>
      <c r="Z33" s="14">
        <f t="shared" si="0"/>
        <v>14</v>
      </c>
      <c r="AA33" s="14">
        <f t="shared" si="1"/>
        <v>56.454999999999998</v>
      </c>
      <c r="AB33" s="14">
        <f t="shared" si="2"/>
        <v>22.639400000000002</v>
      </c>
      <c r="AC33" s="15">
        <f t="shared" si="3"/>
        <v>-3.4566000000000003</v>
      </c>
    </row>
    <row r="34" spans="1:29" x14ac:dyDescent="0.35">
      <c r="A34" s="2" t="s">
        <v>88</v>
      </c>
      <c r="B34" s="2">
        <v>31</v>
      </c>
      <c r="C34" s="2" t="s">
        <v>89</v>
      </c>
      <c r="D34" s="2" t="s">
        <v>27</v>
      </c>
      <c r="E34" s="2" t="s">
        <v>36</v>
      </c>
      <c r="F34" s="2" t="s">
        <v>42</v>
      </c>
      <c r="G34" s="2">
        <v>2022</v>
      </c>
      <c r="H34" s="4">
        <v>44846</v>
      </c>
      <c r="I34" s="4">
        <v>45381</v>
      </c>
      <c r="J34" s="6">
        <v>90</v>
      </c>
      <c r="K34" s="6">
        <v>18</v>
      </c>
      <c r="L34" s="6">
        <v>0</v>
      </c>
      <c r="M34" s="6">
        <v>0</v>
      </c>
      <c r="N34" s="7">
        <v>92</v>
      </c>
      <c r="O34" s="7">
        <v>16.100000000000001</v>
      </c>
      <c r="P34" s="8">
        <v>0.18959999999999999</v>
      </c>
      <c r="Q34" s="8">
        <v>0.1084</v>
      </c>
      <c r="R34" s="9">
        <v>2.6413000000000002</v>
      </c>
      <c r="S34" s="9">
        <v>7.7142999999999997</v>
      </c>
      <c r="T34" s="9">
        <v>2.7965</v>
      </c>
      <c r="U34" s="9">
        <v>4.9307999999999996</v>
      </c>
      <c r="V34">
        <v>10058</v>
      </c>
      <c r="W34" s="14">
        <f t="shared" si="4"/>
        <v>5.0729999999999995</v>
      </c>
      <c r="X34" s="14">
        <f t="shared" si="5"/>
        <v>2.1342999999999996</v>
      </c>
      <c r="Y34" s="15">
        <f t="shared" si="6"/>
        <v>-8.1199999999999994E-2</v>
      </c>
      <c r="Z34" s="14">
        <f t="shared" ref="Z34:Z65" si="7">IF(AND(ISNUMBER(N34),ISNUMBER(O34),ISNUMBER(P34),ISNUMBER(Q34),ISNUMBER(R34),ISNUMBER(S34),ISNUMBER(T34),ISNUMBER(U34),N34&gt;0,O34&gt;0),MIN((INT(N34)*3+ROUND(MOD(N34,1)*10,0))/3,(INT(O34)*3+ROUND(MOD(O34,1)*10,0))/3),"")</f>
        <v>16.333333333333332</v>
      </c>
      <c r="AA34" s="14">
        <f t="shared" ref="AA34:AA65" si="8">IF(ISNUMBER(Z34),W34*Z34,"")</f>
        <v>82.85899999999998</v>
      </c>
      <c r="AB34" s="14">
        <f t="shared" ref="AB34:AB65" si="9">IF(ISNUMBER(Z34),X34*Z34,"")</f>
        <v>34.860233333333326</v>
      </c>
      <c r="AC34" s="15">
        <f t="shared" ref="AC34:AC65" si="10">IF(ISNUMBER(Z34),Y34*Z34,"")</f>
        <v>-1.3262666666666665</v>
      </c>
    </row>
    <row r="35" spans="1:29" x14ac:dyDescent="0.35">
      <c r="A35" s="2" t="s">
        <v>90</v>
      </c>
      <c r="B35" s="2">
        <v>23</v>
      </c>
      <c r="C35" s="2" t="s">
        <v>46</v>
      </c>
      <c r="D35" s="2" t="s">
        <v>27</v>
      </c>
      <c r="E35" s="2" t="s">
        <v>28</v>
      </c>
      <c r="F35" s="2" t="s">
        <v>42</v>
      </c>
      <c r="G35" s="2">
        <v>2022</v>
      </c>
      <c r="H35" s="4">
        <v>44832</v>
      </c>
      <c r="I35" s="4">
        <v>45478</v>
      </c>
      <c r="J35" s="6">
        <v>3</v>
      </c>
      <c r="K35" s="6">
        <v>45</v>
      </c>
      <c r="L35" s="6">
        <v>3</v>
      </c>
      <c r="M35" s="6">
        <v>45</v>
      </c>
      <c r="N35" s="7">
        <v>13.1</v>
      </c>
      <c r="O35" s="7">
        <v>245.2</v>
      </c>
      <c r="P35" s="8">
        <v>0.30609999999999998</v>
      </c>
      <c r="Q35" s="8">
        <v>0.14949999999999999</v>
      </c>
      <c r="R35" s="9">
        <v>2.0249999999999999</v>
      </c>
      <c r="S35" s="9">
        <v>4.2862999999999998</v>
      </c>
      <c r="T35" s="9">
        <v>4.07</v>
      </c>
      <c r="U35" s="9">
        <v>4.2731000000000003</v>
      </c>
      <c r="V35">
        <v>22264</v>
      </c>
      <c r="W35" s="14">
        <f t="shared" si="4"/>
        <v>2.2612999999999999</v>
      </c>
      <c r="X35" s="14">
        <f t="shared" si="5"/>
        <v>0.20310000000000006</v>
      </c>
      <c r="Y35" s="15">
        <f t="shared" si="6"/>
        <v>-0.15659999999999999</v>
      </c>
      <c r="Z35" s="14">
        <f t="shared" si="7"/>
        <v>13.333333333333334</v>
      </c>
      <c r="AA35" s="14">
        <f t="shared" si="8"/>
        <v>30.150666666666666</v>
      </c>
      <c r="AB35" s="14">
        <f t="shared" si="9"/>
        <v>2.7080000000000011</v>
      </c>
      <c r="AC35" s="15">
        <f t="shared" si="10"/>
        <v>-2.0880000000000001</v>
      </c>
    </row>
    <row r="36" spans="1:29" x14ac:dyDescent="0.35">
      <c r="A36" s="2" t="s">
        <v>91</v>
      </c>
      <c r="B36" s="2">
        <v>31</v>
      </c>
      <c r="C36" s="2" t="s">
        <v>92</v>
      </c>
      <c r="D36" s="2" t="s">
        <v>27</v>
      </c>
      <c r="E36" s="2" t="s">
        <v>36</v>
      </c>
      <c r="F36" s="2" t="s">
        <v>42</v>
      </c>
      <c r="G36" s="2">
        <v>2022</v>
      </c>
      <c r="H36" s="4">
        <v>44818</v>
      </c>
      <c r="I36" s="4">
        <v>45511</v>
      </c>
      <c r="J36" s="6">
        <v>6</v>
      </c>
      <c r="K36" s="6">
        <v>3</v>
      </c>
      <c r="L36" s="6">
        <v>0</v>
      </c>
      <c r="M36" s="6">
        <v>0</v>
      </c>
      <c r="N36" s="7">
        <v>6.2</v>
      </c>
      <c r="O36" s="7">
        <v>4.0999999999999996</v>
      </c>
      <c r="P36" s="8">
        <v>0.29170000000000001</v>
      </c>
      <c r="Q36" s="8">
        <v>0.13639999999999999</v>
      </c>
      <c r="R36" s="9">
        <v>1.35</v>
      </c>
      <c r="S36" s="9">
        <v>10.384600000000001</v>
      </c>
      <c r="T36" s="9">
        <v>1.37</v>
      </c>
      <c r="U36" s="9">
        <v>8.01</v>
      </c>
      <c r="V36">
        <v>5097</v>
      </c>
      <c r="W36" s="14">
        <f t="shared" si="4"/>
        <v>9.0346000000000011</v>
      </c>
      <c r="X36" s="14">
        <f t="shared" si="5"/>
        <v>6.64</v>
      </c>
      <c r="Y36" s="15">
        <f t="shared" si="6"/>
        <v>-0.15530000000000002</v>
      </c>
      <c r="Z36" s="14">
        <f t="shared" si="7"/>
        <v>4.333333333333333</v>
      </c>
      <c r="AA36" s="14">
        <f t="shared" si="8"/>
        <v>39.149933333333337</v>
      </c>
      <c r="AB36" s="14">
        <f t="shared" si="9"/>
        <v>28.77333333333333</v>
      </c>
      <c r="AC36" s="15">
        <f t="shared" si="10"/>
        <v>-0.67296666666666671</v>
      </c>
    </row>
    <row r="37" spans="1:29" x14ac:dyDescent="0.35">
      <c r="A37" s="2" t="s">
        <v>93</v>
      </c>
      <c r="B37" s="2">
        <v>26</v>
      </c>
      <c r="C37" s="2" t="s">
        <v>94</v>
      </c>
      <c r="D37" s="2" t="s">
        <v>27</v>
      </c>
      <c r="E37" s="2" t="s">
        <v>28</v>
      </c>
      <c r="F37" s="2" t="s">
        <v>42</v>
      </c>
      <c r="G37" s="2">
        <v>2022</v>
      </c>
      <c r="H37" s="4">
        <v>44813</v>
      </c>
      <c r="I37" s="4">
        <v>45382</v>
      </c>
      <c r="J37" s="6">
        <v>6</v>
      </c>
      <c r="K37" s="6">
        <v>6</v>
      </c>
      <c r="L37" s="6">
        <v>2</v>
      </c>
      <c r="M37" s="6">
        <v>1</v>
      </c>
      <c r="N37" s="7">
        <v>17</v>
      </c>
      <c r="O37" s="7">
        <v>14.2</v>
      </c>
      <c r="P37" s="8">
        <v>4.2299999999999997E-2</v>
      </c>
      <c r="Q37" s="8">
        <v>0.1096</v>
      </c>
      <c r="R37" s="9">
        <v>5.8235000000000001</v>
      </c>
      <c r="S37" s="9">
        <v>9.8181999999999992</v>
      </c>
      <c r="T37" s="9">
        <v>5.6429</v>
      </c>
      <c r="U37" s="9">
        <v>6.1</v>
      </c>
      <c r="V37">
        <v>19345</v>
      </c>
      <c r="W37" s="14">
        <f t="shared" si="4"/>
        <v>3.994699999999999</v>
      </c>
      <c r="X37" s="14">
        <f t="shared" si="5"/>
        <v>0.45709999999999962</v>
      </c>
      <c r="Y37" s="15">
        <f t="shared" si="6"/>
        <v>6.7299999999999999E-2</v>
      </c>
      <c r="Z37" s="14">
        <f t="shared" si="7"/>
        <v>14.666666666666666</v>
      </c>
      <c r="AA37" s="14">
        <f t="shared" si="8"/>
        <v>58.588933333333316</v>
      </c>
      <c r="AB37" s="14">
        <f t="shared" si="9"/>
        <v>6.7041333333333277</v>
      </c>
      <c r="AC37" s="15">
        <f t="shared" si="10"/>
        <v>0.98706666666666665</v>
      </c>
    </row>
    <row r="38" spans="1:29" x14ac:dyDescent="0.35">
      <c r="A38" s="2" t="s">
        <v>95</v>
      </c>
      <c r="B38" s="2">
        <v>27</v>
      </c>
      <c r="C38" s="2" t="s">
        <v>34</v>
      </c>
      <c r="D38" s="2" t="s">
        <v>27</v>
      </c>
      <c r="E38" s="2" t="s">
        <v>28</v>
      </c>
      <c r="F38" s="2" t="s">
        <v>42</v>
      </c>
      <c r="G38" s="2">
        <v>2022</v>
      </c>
      <c r="H38" s="4">
        <v>44803</v>
      </c>
      <c r="I38" s="4">
        <v>45379</v>
      </c>
      <c r="J38" s="6">
        <v>60</v>
      </c>
      <c r="K38" s="6">
        <v>110</v>
      </c>
      <c r="L38" s="6">
        <v>1</v>
      </c>
      <c r="M38" s="6">
        <v>0</v>
      </c>
      <c r="N38" s="7">
        <v>61.1</v>
      </c>
      <c r="O38" s="7">
        <v>103</v>
      </c>
      <c r="P38" s="8">
        <v>0.20649999999999999</v>
      </c>
      <c r="Q38" s="8">
        <v>0.14349999999999999</v>
      </c>
      <c r="R38" s="9">
        <v>2.7879999999999998</v>
      </c>
      <c r="S38" s="9">
        <v>3.1456</v>
      </c>
      <c r="T38" s="9">
        <v>3.19</v>
      </c>
      <c r="U38" s="9">
        <v>3.2597999999999998</v>
      </c>
      <c r="V38">
        <v>19742</v>
      </c>
      <c r="W38" s="14">
        <f t="shared" si="4"/>
        <v>0.35760000000000014</v>
      </c>
      <c r="X38" s="14">
        <f t="shared" si="5"/>
        <v>6.9799999999999862E-2</v>
      </c>
      <c r="Y38" s="15">
        <f t="shared" si="6"/>
        <v>-6.3E-2</v>
      </c>
      <c r="Z38" s="14">
        <f t="shared" si="7"/>
        <v>61.333333333333336</v>
      </c>
      <c r="AA38" s="14">
        <f t="shared" si="8"/>
        <v>21.932800000000011</v>
      </c>
      <c r="AB38" s="14">
        <f t="shared" si="9"/>
        <v>4.2810666666666588</v>
      </c>
      <c r="AC38" s="15">
        <f t="shared" si="10"/>
        <v>-3.8640000000000003</v>
      </c>
    </row>
    <row r="39" spans="1:29" x14ac:dyDescent="0.35">
      <c r="A39" s="2" t="s">
        <v>96</v>
      </c>
      <c r="B39" s="2">
        <v>27</v>
      </c>
      <c r="C39" s="2" t="s">
        <v>44</v>
      </c>
      <c r="D39" s="2" t="s">
        <v>27</v>
      </c>
      <c r="E39" s="2" t="s">
        <v>28</v>
      </c>
      <c r="F39" s="2" t="s">
        <v>42</v>
      </c>
      <c r="G39" s="2">
        <v>2022</v>
      </c>
      <c r="H39" s="4">
        <v>44796</v>
      </c>
      <c r="I39" s="4">
        <v>45418</v>
      </c>
      <c r="J39" s="6">
        <v>71</v>
      </c>
      <c r="K39" s="6">
        <v>42</v>
      </c>
      <c r="L39" s="6">
        <v>71</v>
      </c>
      <c r="M39" s="6">
        <v>40</v>
      </c>
      <c r="N39" s="7">
        <v>426.2</v>
      </c>
      <c r="O39" s="7">
        <v>201.1</v>
      </c>
      <c r="P39" s="8">
        <v>0.2172</v>
      </c>
      <c r="Q39" s="8">
        <v>7.3700000000000002E-2</v>
      </c>
      <c r="R39" s="9">
        <v>2.8898000000000001</v>
      </c>
      <c r="S39" s="9">
        <v>5.0960000000000001</v>
      </c>
      <c r="T39" s="9">
        <v>3.1989999999999998</v>
      </c>
      <c r="U39" s="9">
        <v>5.6151</v>
      </c>
      <c r="V39">
        <v>19374</v>
      </c>
      <c r="W39" s="14">
        <f t="shared" si="4"/>
        <v>2.2061999999999999</v>
      </c>
      <c r="X39" s="14">
        <f t="shared" si="5"/>
        <v>2.4161000000000001</v>
      </c>
      <c r="Y39" s="15">
        <f t="shared" si="6"/>
        <v>-0.14350000000000002</v>
      </c>
      <c r="Z39" s="14">
        <f t="shared" si="7"/>
        <v>201.33333333333334</v>
      </c>
      <c r="AA39" s="14">
        <f t="shared" si="8"/>
        <v>444.1816</v>
      </c>
      <c r="AB39" s="14">
        <f t="shared" si="9"/>
        <v>486.44146666666671</v>
      </c>
      <c r="AC39" s="15">
        <f t="shared" si="10"/>
        <v>-28.891333333333339</v>
      </c>
    </row>
    <row r="40" spans="1:29" x14ac:dyDescent="0.35">
      <c r="A40" s="2" t="s">
        <v>97</v>
      </c>
      <c r="B40" s="2">
        <v>27</v>
      </c>
      <c r="C40" s="2" t="s">
        <v>34</v>
      </c>
      <c r="D40" s="2" t="s">
        <v>27</v>
      </c>
      <c r="E40" s="2" t="s">
        <v>28</v>
      </c>
      <c r="F40" s="2" t="s">
        <v>42</v>
      </c>
      <c r="G40" s="2">
        <v>2022</v>
      </c>
      <c r="H40" s="4">
        <v>44790</v>
      </c>
      <c r="I40" s="4">
        <v>45395</v>
      </c>
      <c r="J40" s="6">
        <v>7</v>
      </c>
      <c r="K40" s="6">
        <v>6</v>
      </c>
      <c r="L40" s="6">
        <v>7</v>
      </c>
      <c r="M40" s="6">
        <v>4</v>
      </c>
      <c r="N40" s="7">
        <v>30.2</v>
      </c>
      <c r="O40" s="7">
        <v>27</v>
      </c>
      <c r="P40" s="8">
        <v>0.1212</v>
      </c>
      <c r="Q40" s="8">
        <v>6.25E-2</v>
      </c>
      <c r="R40" s="9">
        <v>4.9890999999999996</v>
      </c>
      <c r="S40" s="9">
        <v>3.6667000000000001</v>
      </c>
      <c r="T40" s="9">
        <v>5.62</v>
      </c>
      <c r="U40" s="9">
        <v>4.0902000000000003</v>
      </c>
      <c r="V40">
        <v>18769</v>
      </c>
      <c r="W40" s="14">
        <f t="shared" si="4"/>
        <v>-1.3223999999999996</v>
      </c>
      <c r="X40" s="14">
        <f t="shared" si="5"/>
        <v>-1.5297999999999998</v>
      </c>
      <c r="Y40" s="15">
        <f t="shared" si="6"/>
        <v>-5.8700000000000002E-2</v>
      </c>
      <c r="Z40" s="14">
        <f t="shared" si="7"/>
        <v>27</v>
      </c>
      <c r="AA40" s="14">
        <f t="shared" si="8"/>
        <v>-35.704799999999992</v>
      </c>
      <c r="AB40" s="14">
        <f t="shared" si="9"/>
        <v>-41.304599999999994</v>
      </c>
      <c r="AC40" s="15">
        <f t="shared" si="10"/>
        <v>-1.5849</v>
      </c>
    </row>
    <row r="41" spans="1:29" x14ac:dyDescent="0.35">
      <c r="A41" s="2" t="s">
        <v>98</v>
      </c>
      <c r="B41" s="2">
        <v>23</v>
      </c>
      <c r="C41" s="2" t="s">
        <v>34</v>
      </c>
      <c r="D41" s="2" t="s">
        <v>27</v>
      </c>
      <c r="E41" s="2" t="s">
        <v>28</v>
      </c>
      <c r="F41" s="2" t="s">
        <v>42</v>
      </c>
      <c r="G41" s="2">
        <v>2022</v>
      </c>
      <c r="H41" s="4">
        <v>44782</v>
      </c>
      <c r="I41" s="4">
        <v>45383</v>
      </c>
      <c r="J41" s="2"/>
      <c r="K41" s="6">
        <v>23</v>
      </c>
      <c r="L41" s="2"/>
      <c r="M41" s="6">
        <v>23</v>
      </c>
      <c r="N41" s="2"/>
      <c r="O41" s="7">
        <v>121.2</v>
      </c>
      <c r="P41" s="2"/>
      <c r="Q41" s="8">
        <v>0.14069999999999999</v>
      </c>
      <c r="R41" s="2"/>
      <c r="S41" s="9">
        <v>5.1780999999999997</v>
      </c>
      <c r="T41" s="2"/>
      <c r="U41" s="9">
        <v>5.1345999999999998</v>
      </c>
      <c r="V41">
        <v>27474</v>
      </c>
      <c r="W41" s="14" t="str">
        <f t="shared" si="4"/>
        <v/>
      </c>
      <c r="X41" s="14" t="str">
        <f t="shared" si="5"/>
        <v/>
      </c>
      <c r="Y41" s="15" t="str">
        <f t="shared" si="6"/>
        <v/>
      </c>
      <c r="Z41" s="14" t="str">
        <f t="shared" si="7"/>
        <v/>
      </c>
      <c r="AA41" s="14" t="str">
        <f t="shared" si="8"/>
        <v/>
      </c>
      <c r="AB41" s="14" t="str">
        <f t="shared" si="9"/>
        <v/>
      </c>
      <c r="AC41" s="15" t="str">
        <f t="shared" si="10"/>
        <v/>
      </c>
    </row>
    <row r="42" spans="1:29" x14ac:dyDescent="0.35">
      <c r="A42" s="2" t="s">
        <v>99</v>
      </c>
      <c r="B42" s="2">
        <v>24</v>
      </c>
      <c r="C42" s="2" t="s">
        <v>41</v>
      </c>
      <c r="D42" s="2" t="s">
        <v>27</v>
      </c>
      <c r="E42" s="2" t="s">
        <v>28</v>
      </c>
      <c r="F42" s="2" t="s">
        <v>100</v>
      </c>
      <c r="G42" s="2">
        <v>2022</v>
      </c>
      <c r="H42" s="4">
        <v>44781</v>
      </c>
      <c r="I42" s="4">
        <v>45450</v>
      </c>
      <c r="J42" s="6">
        <v>22</v>
      </c>
      <c r="K42" s="6">
        <v>7</v>
      </c>
      <c r="L42" s="6">
        <v>7</v>
      </c>
      <c r="M42" s="6">
        <v>0</v>
      </c>
      <c r="N42" s="7">
        <v>56.1</v>
      </c>
      <c r="O42" s="7">
        <v>10.1</v>
      </c>
      <c r="P42" s="8">
        <v>8.5000000000000006E-2</v>
      </c>
      <c r="Q42" s="8">
        <v>6.25E-2</v>
      </c>
      <c r="R42" s="9">
        <v>5.2721999999999998</v>
      </c>
      <c r="S42" s="9">
        <v>5.2257999999999996</v>
      </c>
      <c r="T42" s="9">
        <v>5.0743999999999998</v>
      </c>
      <c r="U42" s="9">
        <v>3.55</v>
      </c>
      <c r="V42">
        <v>21183</v>
      </c>
      <c r="W42" s="14">
        <f t="shared" si="4"/>
        <v>-4.6400000000000219E-2</v>
      </c>
      <c r="X42" s="14">
        <f t="shared" si="5"/>
        <v>-1.5244</v>
      </c>
      <c r="Y42" s="15">
        <f t="shared" si="6"/>
        <v>-2.2500000000000006E-2</v>
      </c>
      <c r="Z42" s="14">
        <f t="shared" si="7"/>
        <v>10.333333333333334</v>
      </c>
      <c r="AA42" s="14">
        <f t="shared" si="8"/>
        <v>-0.47946666666666893</v>
      </c>
      <c r="AB42" s="14">
        <f t="shared" si="9"/>
        <v>-15.752133333333335</v>
      </c>
      <c r="AC42" s="15">
        <f t="shared" si="10"/>
        <v>-0.23250000000000007</v>
      </c>
    </row>
    <row r="43" spans="1:29" x14ac:dyDescent="0.35">
      <c r="A43" s="2" t="s">
        <v>101</v>
      </c>
      <c r="B43" s="2">
        <v>29</v>
      </c>
      <c r="C43" s="2" t="s">
        <v>85</v>
      </c>
      <c r="D43" s="2" t="s">
        <v>27</v>
      </c>
      <c r="E43" s="2" t="s">
        <v>28</v>
      </c>
      <c r="F43" s="2" t="s">
        <v>42</v>
      </c>
      <c r="G43" s="2">
        <v>2022</v>
      </c>
      <c r="H43" s="4">
        <v>44776</v>
      </c>
      <c r="I43" s="4">
        <v>45199</v>
      </c>
      <c r="J43" s="6">
        <v>110</v>
      </c>
      <c r="K43" s="6">
        <v>64</v>
      </c>
      <c r="L43" s="6">
        <v>0</v>
      </c>
      <c r="M43" s="6">
        <v>0</v>
      </c>
      <c r="N43" s="7">
        <v>100.1</v>
      </c>
      <c r="O43" s="7">
        <v>61.2</v>
      </c>
      <c r="P43" s="8">
        <v>0.17730000000000001</v>
      </c>
      <c r="Q43" s="8">
        <v>6.0100000000000001E-2</v>
      </c>
      <c r="R43" s="9">
        <v>4.7542</v>
      </c>
      <c r="S43" s="9">
        <v>5.6919000000000004</v>
      </c>
      <c r="T43" s="9">
        <v>4.6481000000000003</v>
      </c>
      <c r="U43" s="9">
        <v>5.1722999999999999</v>
      </c>
      <c r="V43">
        <v>17610</v>
      </c>
      <c r="W43" s="14">
        <f t="shared" si="4"/>
        <v>0.93770000000000042</v>
      </c>
      <c r="X43" s="14">
        <f t="shared" si="5"/>
        <v>0.52419999999999956</v>
      </c>
      <c r="Y43" s="15">
        <f t="shared" si="6"/>
        <v>-0.11720000000000001</v>
      </c>
      <c r="Z43" s="14">
        <f t="shared" si="7"/>
        <v>61.666666666666664</v>
      </c>
      <c r="AA43" s="14">
        <f t="shared" si="8"/>
        <v>57.824833333333359</v>
      </c>
      <c r="AB43" s="14">
        <f t="shared" si="9"/>
        <v>32.325666666666635</v>
      </c>
      <c r="AC43" s="15">
        <f t="shared" si="10"/>
        <v>-7.2273333333333341</v>
      </c>
    </row>
    <row r="44" spans="1:29" x14ac:dyDescent="0.35">
      <c r="A44" s="2" t="s">
        <v>102</v>
      </c>
      <c r="B44" s="2">
        <v>30</v>
      </c>
      <c r="C44" s="2" t="s">
        <v>103</v>
      </c>
      <c r="D44" s="2" t="s">
        <v>27</v>
      </c>
      <c r="E44" s="2" t="s">
        <v>36</v>
      </c>
      <c r="F44" s="2" t="s">
        <v>42</v>
      </c>
      <c r="G44" s="2">
        <v>2022</v>
      </c>
      <c r="H44" s="4">
        <v>44762</v>
      </c>
      <c r="I44" s="4"/>
      <c r="J44" s="6">
        <v>60</v>
      </c>
      <c r="K44" s="10" t="s">
        <v>52</v>
      </c>
      <c r="L44" s="6">
        <v>0</v>
      </c>
      <c r="M44" s="10" t="s">
        <v>52</v>
      </c>
      <c r="N44" s="7">
        <v>52.2</v>
      </c>
      <c r="O44" s="10" t="s">
        <v>52</v>
      </c>
      <c r="P44" s="8">
        <v>0.2455</v>
      </c>
      <c r="Q44" s="10" t="s">
        <v>52</v>
      </c>
      <c r="R44" s="9">
        <v>4.1013000000000002</v>
      </c>
      <c r="S44" s="10" t="s">
        <v>52</v>
      </c>
      <c r="T44" s="9">
        <v>3.9575</v>
      </c>
      <c r="U44" s="10" t="s">
        <v>52</v>
      </c>
      <c r="V44">
        <v>16390</v>
      </c>
      <c r="W44" s="14" t="str">
        <f t="shared" si="4"/>
        <v/>
      </c>
      <c r="X44" s="14" t="str">
        <f t="shared" si="5"/>
        <v/>
      </c>
      <c r="Y44" s="15" t="str">
        <f t="shared" si="6"/>
        <v/>
      </c>
      <c r="Z44" s="14" t="str">
        <f t="shared" si="7"/>
        <v/>
      </c>
      <c r="AA44" s="14" t="str">
        <f t="shared" si="8"/>
        <v/>
      </c>
      <c r="AB44" s="14" t="str">
        <f t="shared" si="9"/>
        <v/>
      </c>
      <c r="AC44" s="15" t="str">
        <f t="shared" si="10"/>
        <v/>
      </c>
    </row>
    <row r="45" spans="1:29" x14ac:dyDescent="0.35">
      <c r="A45" s="2" t="s">
        <v>104</v>
      </c>
      <c r="B45" s="2">
        <v>26</v>
      </c>
      <c r="C45" s="2" t="s">
        <v>61</v>
      </c>
      <c r="D45" s="2" t="s">
        <v>27</v>
      </c>
      <c r="E45" s="2" t="s">
        <v>28</v>
      </c>
      <c r="F45" s="2" t="s">
        <v>29</v>
      </c>
      <c r="G45" s="2">
        <v>2022</v>
      </c>
      <c r="H45" s="4">
        <v>44762</v>
      </c>
      <c r="I45" s="4">
        <v>45382</v>
      </c>
      <c r="J45" s="6">
        <v>22</v>
      </c>
      <c r="K45" s="6">
        <v>1</v>
      </c>
      <c r="L45" s="6">
        <v>22</v>
      </c>
      <c r="M45" s="6">
        <v>0</v>
      </c>
      <c r="N45" s="7">
        <v>114</v>
      </c>
      <c r="O45" s="7">
        <v>4</v>
      </c>
      <c r="P45" s="8">
        <v>8.4699999999999998E-2</v>
      </c>
      <c r="Q45" s="8">
        <v>0.1176</v>
      </c>
      <c r="R45" s="9">
        <v>4.7367999999999997</v>
      </c>
      <c r="S45" s="9">
        <v>6.75</v>
      </c>
      <c r="T45" s="9">
        <v>5.22</v>
      </c>
      <c r="U45" s="9">
        <v>5.92</v>
      </c>
      <c r="V45">
        <v>19278</v>
      </c>
      <c r="W45" s="14">
        <f t="shared" si="4"/>
        <v>2.0132000000000003</v>
      </c>
      <c r="X45" s="14">
        <f t="shared" si="5"/>
        <v>0.70000000000000018</v>
      </c>
      <c r="Y45" s="15">
        <f t="shared" si="6"/>
        <v>3.2899999999999999E-2</v>
      </c>
      <c r="Z45" s="14">
        <f t="shared" si="7"/>
        <v>4</v>
      </c>
      <c r="AA45" s="14">
        <f t="shared" si="8"/>
        <v>8.0528000000000013</v>
      </c>
      <c r="AB45" s="14">
        <f t="shared" si="9"/>
        <v>2.8000000000000007</v>
      </c>
      <c r="AC45" s="15">
        <f t="shared" si="10"/>
        <v>0.13159999999999999</v>
      </c>
    </row>
    <row r="46" spans="1:29" x14ac:dyDescent="0.35">
      <c r="A46" s="2" t="s">
        <v>105</v>
      </c>
      <c r="B46" s="2">
        <v>32</v>
      </c>
      <c r="C46" s="2" t="s">
        <v>46</v>
      </c>
      <c r="D46" s="2" t="s">
        <v>27</v>
      </c>
      <c r="E46" s="2" t="s">
        <v>28</v>
      </c>
      <c r="F46" s="2" t="s">
        <v>42</v>
      </c>
      <c r="G46" s="2">
        <v>2022</v>
      </c>
      <c r="H46" s="4">
        <v>44734</v>
      </c>
      <c r="I46" s="4">
        <v>45156</v>
      </c>
      <c r="J46" s="6">
        <v>102</v>
      </c>
      <c r="K46" s="6">
        <v>142</v>
      </c>
      <c r="L46" s="6">
        <v>12</v>
      </c>
      <c r="M46" s="6">
        <v>0</v>
      </c>
      <c r="N46" s="7">
        <v>129.1</v>
      </c>
      <c r="O46" s="7">
        <v>135.1</v>
      </c>
      <c r="P46" s="8">
        <v>0.2084</v>
      </c>
      <c r="Q46" s="8">
        <v>0.19819999999999999</v>
      </c>
      <c r="R46" s="9">
        <v>2.7835000000000001</v>
      </c>
      <c r="S46" s="9">
        <v>3.0590999999999999</v>
      </c>
      <c r="T46" s="9">
        <v>3.2490000000000001</v>
      </c>
      <c r="U46" s="9">
        <v>3.5617999999999999</v>
      </c>
      <c r="V46">
        <v>12828</v>
      </c>
      <c r="W46" s="14">
        <f t="shared" si="4"/>
        <v>0.27559999999999985</v>
      </c>
      <c r="X46" s="14">
        <f t="shared" si="5"/>
        <v>0.31279999999999974</v>
      </c>
      <c r="Y46" s="15">
        <f t="shared" si="6"/>
        <v>-1.0200000000000015E-2</v>
      </c>
      <c r="Z46" s="14">
        <f t="shared" si="7"/>
        <v>129.33333333333334</v>
      </c>
      <c r="AA46" s="14">
        <f t="shared" si="8"/>
        <v>35.644266666666653</v>
      </c>
      <c r="AB46" s="14">
        <f t="shared" si="9"/>
        <v>40.455466666666638</v>
      </c>
      <c r="AC46" s="15">
        <f t="shared" si="10"/>
        <v>-1.3192000000000019</v>
      </c>
    </row>
    <row r="47" spans="1:29" x14ac:dyDescent="0.35">
      <c r="A47" s="2" t="s">
        <v>106</v>
      </c>
      <c r="B47" s="2">
        <v>35</v>
      </c>
      <c r="C47" s="2" t="s">
        <v>107</v>
      </c>
      <c r="D47" s="2" t="s">
        <v>27</v>
      </c>
      <c r="E47" s="2" t="s">
        <v>36</v>
      </c>
      <c r="F47" s="2" t="s">
        <v>108</v>
      </c>
      <c r="G47" s="2">
        <v>2022</v>
      </c>
      <c r="H47" s="4">
        <v>44730</v>
      </c>
      <c r="I47" s="4">
        <v>45139</v>
      </c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W47" s="14" t="str">
        <f t="shared" si="4"/>
        <v/>
      </c>
      <c r="X47" s="14" t="str">
        <f t="shared" si="5"/>
        <v/>
      </c>
      <c r="Y47" s="15" t="str">
        <f t="shared" si="6"/>
        <v/>
      </c>
      <c r="Z47" s="14" t="str">
        <f t="shared" si="7"/>
        <v/>
      </c>
      <c r="AA47" s="14" t="str">
        <f t="shared" si="8"/>
        <v/>
      </c>
      <c r="AB47" s="14" t="str">
        <f t="shared" si="9"/>
        <v/>
      </c>
      <c r="AC47" s="15" t="str">
        <f t="shared" si="10"/>
        <v/>
      </c>
    </row>
    <row r="48" spans="1:29" x14ac:dyDescent="0.35">
      <c r="A48" s="2" t="s">
        <v>109</v>
      </c>
      <c r="B48" s="2">
        <v>34</v>
      </c>
      <c r="C48" s="2" t="s">
        <v>61</v>
      </c>
      <c r="D48" s="2" t="s">
        <v>27</v>
      </c>
      <c r="E48" s="2" t="s">
        <v>36</v>
      </c>
      <c r="F48" s="2" t="s">
        <v>42</v>
      </c>
      <c r="G48" s="2">
        <v>2022</v>
      </c>
      <c r="H48" s="4">
        <v>44715</v>
      </c>
      <c r="I48" s="4">
        <v>45381</v>
      </c>
      <c r="J48" s="6">
        <v>110</v>
      </c>
      <c r="K48" s="6">
        <v>121</v>
      </c>
      <c r="L48" s="6">
        <v>0</v>
      </c>
      <c r="M48" s="6">
        <v>0</v>
      </c>
      <c r="N48" s="7">
        <v>92.2</v>
      </c>
      <c r="O48" s="7">
        <v>95</v>
      </c>
      <c r="P48" s="8">
        <v>0.12970000000000001</v>
      </c>
      <c r="Q48" s="8">
        <v>0.18029999999999999</v>
      </c>
      <c r="R48" s="9">
        <v>3.7877999999999998</v>
      </c>
      <c r="S48" s="9">
        <v>4.4526000000000003</v>
      </c>
      <c r="T48" s="9">
        <v>4.2206999999999999</v>
      </c>
      <c r="U48" s="9">
        <v>3.8243999999999998</v>
      </c>
      <c r="V48">
        <v>4301</v>
      </c>
      <c r="W48" s="14">
        <f t="shared" si="4"/>
        <v>0.6648000000000005</v>
      </c>
      <c r="X48" s="14">
        <f t="shared" si="5"/>
        <v>-0.3963000000000001</v>
      </c>
      <c r="Y48" s="15">
        <f t="shared" si="6"/>
        <v>5.0599999999999978E-2</v>
      </c>
      <c r="Z48" s="14">
        <f t="shared" si="7"/>
        <v>92.666666666666671</v>
      </c>
      <c r="AA48" s="14">
        <f t="shared" si="8"/>
        <v>61.604800000000047</v>
      </c>
      <c r="AB48" s="14">
        <f t="shared" si="9"/>
        <v>-36.723800000000011</v>
      </c>
      <c r="AC48" s="15">
        <f t="shared" si="10"/>
        <v>4.6889333333333312</v>
      </c>
    </row>
    <row r="49" spans="1:29" x14ac:dyDescent="0.35">
      <c r="A49" s="2" t="s">
        <v>110</v>
      </c>
      <c r="B49" s="2">
        <v>24</v>
      </c>
      <c r="C49" s="2" t="s">
        <v>26</v>
      </c>
      <c r="D49" s="2" t="s">
        <v>27</v>
      </c>
      <c r="E49" s="2" t="s">
        <v>28</v>
      </c>
      <c r="F49" s="2" t="s">
        <v>42</v>
      </c>
      <c r="G49" s="2">
        <v>2022</v>
      </c>
      <c r="H49" s="4">
        <v>44715</v>
      </c>
      <c r="I49" s="4">
        <v>45745</v>
      </c>
      <c r="J49" s="6">
        <v>9</v>
      </c>
      <c r="K49" s="6">
        <v>24</v>
      </c>
      <c r="L49" s="6">
        <v>9</v>
      </c>
      <c r="M49" s="6">
        <v>0</v>
      </c>
      <c r="N49" s="7">
        <v>38.200000000000003</v>
      </c>
      <c r="O49" s="7">
        <v>37</v>
      </c>
      <c r="P49" s="8">
        <v>7.1400000000000005E-2</v>
      </c>
      <c r="Q49" s="8">
        <v>0.1351</v>
      </c>
      <c r="R49" s="9">
        <v>6.2845000000000004</v>
      </c>
      <c r="S49" s="9">
        <v>3.6486000000000001</v>
      </c>
      <c r="T49" s="9">
        <v>4.6399999999999997</v>
      </c>
      <c r="U49" s="9">
        <v>3.95</v>
      </c>
      <c r="V49">
        <v>22175</v>
      </c>
      <c r="W49" s="14">
        <f t="shared" si="4"/>
        <v>-2.6359000000000004</v>
      </c>
      <c r="X49" s="14">
        <f t="shared" si="5"/>
        <v>-0.6899999999999995</v>
      </c>
      <c r="Y49" s="15">
        <f t="shared" si="6"/>
        <v>6.3699999999999993E-2</v>
      </c>
      <c r="Z49" s="14">
        <f t="shared" si="7"/>
        <v>37</v>
      </c>
      <c r="AA49" s="14">
        <f t="shared" si="8"/>
        <v>-97.528300000000016</v>
      </c>
      <c r="AB49" s="14">
        <f t="shared" si="9"/>
        <v>-25.52999999999998</v>
      </c>
      <c r="AC49" s="15">
        <f t="shared" si="10"/>
        <v>2.3568999999999996</v>
      </c>
    </row>
    <row r="50" spans="1:29" x14ac:dyDescent="0.35">
      <c r="A50" s="2" t="s">
        <v>111</v>
      </c>
      <c r="B50" s="2">
        <v>31</v>
      </c>
      <c r="C50" s="2" t="s">
        <v>77</v>
      </c>
      <c r="D50" s="2" t="s">
        <v>27</v>
      </c>
      <c r="E50" s="2" t="s">
        <v>28</v>
      </c>
      <c r="F50" s="2" t="s">
        <v>42</v>
      </c>
      <c r="G50" s="2">
        <v>2022</v>
      </c>
      <c r="H50" s="4">
        <v>44713</v>
      </c>
      <c r="I50" s="4">
        <v>45170</v>
      </c>
      <c r="J50" s="6">
        <v>143</v>
      </c>
      <c r="K50" s="6">
        <v>110</v>
      </c>
      <c r="L50" s="6">
        <v>15</v>
      </c>
      <c r="M50" s="6">
        <v>0</v>
      </c>
      <c r="N50" s="7">
        <v>178.1</v>
      </c>
      <c r="O50" s="7">
        <v>109</v>
      </c>
      <c r="P50" s="8">
        <v>0.2606</v>
      </c>
      <c r="Q50" s="8">
        <v>0.14599999999999999</v>
      </c>
      <c r="R50" s="9">
        <v>3.5832000000000002</v>
      </c>
      <c r="S50" s="9">
        <v>4.3761000000000001</v>
      </c>
      <c r="T50" s="9">
        <v>3.5767000000000002</v>
      </c>
      <c r="U50" s="9">
        <v>5.0891000000000002</v>
      </c>
      <c r="V50">
        <v>15552</v>
      </c>
      <c r="W50" s="14">
        <f t="shared" si="4"/>
        <v>0.79289999999999994</v>
      </c>
      <c r="X50" s="14">
        <f t="shared" si="5"/>
        <v>1.5124</v>
      </c>
      <c r="Y50" s="15">
        <f t="shared" si="6"/>
        <v>-0.11460000000000001</v>
      </c>
      <c r="Z50" s="14">
        <f t="shared" si="7"/>
        <v>109</v>
      </c>
      <c r="AA50" s="14">
        <f t="shared" si="8"/>
        <v>86.426099999999991</v>
      </c>
      <c r="AB50" s="14">
        <f t="shared" si="9"/>
        <v>164.85159999999999</v>
      </c>
      <c r="AC50" s="15">
        <f t="shared" si="10"/>
        <v>-12.491400000000001</v>
      </c>
    </row>
    <row r="51" spans="1:29" x14ac:dyDescent="0.35">
      <c r="A51" s="2" t="s">
        <v>112</v>
      </c>
      <c r="B51" s="2">
        <v>26</v>
      </c>
      <c r="C51" s="2" t="s">
        <v>57</v>
      </c>
      <c r="D51" s="2" t="s">
        <v>27</v>
      </c>
      <c r="E51" s="2" t="s">
        <v>28</v>
      </c>
      <c r="F51" s="2" t="s">
        <v>42</v>
      </c>
      <c r="G51" s="2">
        <v>2022</v>
      </c>
      <c r="H51" s="4">
        <v>44699</v>
      </c>
      <c r="I51" s="4">
        <v>45193</v>
      </c>
      <c r="J51" s="6">
        <v>61</v>
      </c>
      <c r="K51" s="6">
        <v>52</v>
      </c>
      <c r="L51" s="6">
        <v>60</v>
      </c>
      <c r="M51" s="6">
        <v>45</v>
      </c>
      <c r="N51" s="7">
        <v>308</v>
      </c>
      <c r="O51" s="7">
        <v>251.1</v>
      </c>
      <c r="P51" s="8">
        <v>0.19259999999999999</v>
      </c>
      <c r="Q51" s="8">
        <v>0.13009999999999999</v>
      </c>
      <c r="R51" s="9">
        <v>4.2077999999999998</v>
      </c>
      <c r="S51" s="9">
        <v>5.2281000000000004</v>
      </c>
      <c r="T51" s="9">
        <v>4.0952000000000002</v>
      </c>
      <c r="U51" s="9">
        <v>4.6959999999999997</v>
      </c>
      <c r="V51">
        <v>20099</v>
      </c>
      <c r="W51" s="14">
        <f t="shared" si="4"/>
        <v>1.0203000000000007</v>
      </c>
      <c r="X51" s="14">
        <f t="shared" si="5"/>
        <v>0.60079999999999956</v>
      </c>
      <c r="Y51" s="15">
        <f t="shared" si="6"/>
        <v>-6.25E-2</v>
      </c>
      <c r="Z51" s="14">
        <f t="shared" si="7"/>
        <v>251.33333333333334</v>
      </c>
      <c r="AA51" s="14">
        <f t="shared" si="8"/>
        <v>256.43540000000019</v>
      </c>
      <c r="AB51" s="14">
        <f t="shared" si="9"/>
        <v>151.00106666666656</v>
      </c>
      <c r="AC51" s="15">
        <f t="shared" si="10"/>
        <v>-15.708333333333334</v>
      </c>
    </row>
    <row r="52" spans="1:29" x14ac:dyDescent="0.35">
      <c r="A52" s="2" t="s">
        <v>113</v>
      </c>
      <c r="B52" s="2">
        <v>26</v>
      </c>
      <c r="C52" s="2" t="s">
        <v>114</v>
      </c>
      <c r="D52" s="2" t="s">
        <v>27</v>
      </c>
      <c r="E52" s="2" t="s">
        <v>28</v>
      </c>
      <c r="F52" s="2" t="s">
        <v>42</v>
      </c>
      <c r="G52" s="2">
        <v>2022</v>
      </c>
      <c r="H52" s="4">
        <v>44692</v>
      </c>
      <c r="I52" s="4">
        <v>45161</v>
      </c>
      <c r="J52" s="6">
        <v>26</v>
      </c>
      <c r="K52" s="6">
        <v>31</v>
      </c>
      <c r="L52" s="6">
        <v>6</v>
      </c>
      <c r="M52" s="6">
        <v>0</v>
      </c>
      <c r="N52" s="7">
        <v>59</v>
      </c>
      <c r="O52" s="7">
        <v>29.1</v>
      </c>
      <c r="P52" s="8">
        <v>8.8200000000000001E-2</v>
      </c>
      <c r="Q52" s="8">
        <v>0.1694</v>
      </c>
      <c r="R52" s="9">
        <v>4.2712000000000003</v>
      </c>
      <c r="S52" s="9">
        <v>2.1476999999999999</v>
      </c>
      <c r="T52" s="9">
        <v>4.8593000000000002</v>
      </c>
      <c r="U52" s="9">
        <v>2.4419</v>
      </c>
      <c r="V52">
        <v>17034</v>
      </c>
      <c r="W52" s="14">
        <f t="shared" si="4"/>
        <v>-2.1235000000000004</v>
      </c>
      <c r="X52" s="14">
        <f t="shared" si="5"/>
        <v>-2.4174000000000002</v>
      </c>
      <c r="Y52" s="15">
        <f t="shared" si="6"/>
        <v>8.1199999999999994E-2</v>
      </c>
      <c r="Z52" s="14">
        <f t="shared" si="7"/>
        <v>29.333333333333332</v>
      </c>
      <c r="AA52" s="14">
        <f t="shared" si="8"/>
        <v>-62.289333333333339</v>
      </c>
      <c r="AB52" s="14">
        <f t="shared" si="9"/>
        <v>-70.91040000000001</v>
      </c>
      <c r="AC52" s="15">
        <f t="shared" si="10"/>
        <v>2.3818666666666664</v>
      </c>
    </row>
    <row r="53" spans="1:29" x14ac:dyDescent="0.35">
      <c r="A53" s="2" t="s">
        <v>115</v>
      </c>
      <c r="B53" s="2">
        <v>29</v>
      </c>
      <c r="C53" s="2" t="s">
        <v>31</v>
      </c>
      <c r="D53" s="2" t="s">
        <v>27</v>
      </c>
      <c r="E53" s="2" t="s">
        <v>36</v>
      </c>
      <c r="F53" s="2" t="s">
        <v>42</v>
      </c>
      <c r="G53" s="2">
        <v>2022</v>
      </c>
      <c r="H53" s="4">
        <v>44678</v>
      </c>
      <c r="I53" s="4">
        <v>45181</v>
      </c>
      <c r="J53" s="6">
        <v>67</v>
      </c>
      <c r="K53" s="6">
        <v>8</v>
      </c>
      <c r="L53" s="6">
        <v>63</v>
      </c>
      <c r="M53" s="6">
        <v>8</v>
      </c>
      <c r="N53" s="7">
        <v>345.1</v>
      </c>
      <c r="O53" s="7">
        <v>44.1</v>
      </c>
      <c r="P53" s="8">
        <v>0.16109999999999999</v>
      </c>
      <c r="Q53" s="8">
        <v>0.11899999999999999</v>
      </c>
      <c r="R53" s="9">
        <v>3.7267999999999999</v>
      </c>
      <c r="S53" s="9">
        <v>2.6391</v>
      </c>
      <c r="T53" s="9">
        <v>4.6497000000000002</v>
      </c>
      <c r="U53" s="9">
        <v>4.3403</v>
      </c>
      <c r="V53">
        <v>16269</v>
      </c>
      <c r="W53" s="14">
        <f t="shared" si="4"/>
        <v>-1.0876999999999999</v>
      </c>
      <c r="X53" s="14">
        <f t="shared" si="5"/>
        <v>-0.30940000000000012</v>
      </c>
      <c r="Y53" s="15">
        <f t="shared" si="6"/>
        <v>-4.2099999999999999E-2</v>
      </c>
      <c r="Z53" s="14">
        <f t="shared" si="7"/>
        <v>44.333333333333336</v>
      </c>
      <c r="AA53" s="14">
        <f t="shared" si="8"/>
        <v>-48.221366666666661</v>
      </c>
      <c r="AB53" s="14">
        <f t="shared" si="9"/>
        <v>-13.716733333333339</v>
      </c>
      <c r="AC53" s="15">
        <f t="shared" si="10"/>
        <v>-1.8664333333333334</v>
      </c>
    </row>
    <row r="54" spans="1:29" x14ac:dyDescent="0.35">
      <c r="A54" s="2" t="s">
        <v>116</v>
      </c>
      <c r="B54" s="2">
        <v>30</v>
      </c>
      <c r="C54" s="2" t="s">
        <v>89</v>
      </c>
      <c r="D54" s="2" t="s">
        <v>27</v>
      </c>
      <c r="E54" s="2" t="s">
        <v>28</v>
      </c>
      <c r="F54" s="2" t="s">
        <v>42</v>
      </c>
      <c r="G54" s="2">
        <v>2022</v>
      </c>
      <c r="H54" s="4">
        <v>44664</v>
      </c>
      <c r="I54" s="4">
        <v>45077</v>
      </c>
      <c r="J54" s="6">
        <v>160</v>
      </c>
      <c r="K54" s="6">
        <v>137</v>
      </c>
      <c r="L54" s="6">
        <v>0</v>
      </c>
      <c r="M54" s="6">
        <v>0</v>
      </c>
      <c r="N54" s="7">
        <v>162.19999999999999</v>
      </c>
      <c r="O54" s="7">
        <v>137.1</v>
      </c>
      <c r="P54" s="8">
        <v>0.18079999999999999</v>
      </c>
      <c r="Q54" s="8">
        <v>0.11890000000000001</v>
      </c>
      <c r="R54" s="9">
        <v>3.5962999999999998</v>
      </c>
      <c r="S54" s="9">
        <v>4.1942000000000004</v>
      </c>
      <c r="T54" s="9">
        <v>3.5872999999999999</v>
      </c>
      <c r="U54" s="9">
        <v>4.1022999999999996</v>
      </c>
      <c r="V54">
        <v>11752</v>
      </c>
      <c r="W54" s="14">
        <f t="shared" si="4"/>
        <v>0.59790000000000054</v>
      </c>
      <c r="X54" s="14">
        <f t="shared" si="5"/>
        <v>0.51499999999999968</v>
      </c>
      <c r="Y54" s="15">
        <f t="shared" si="6"/>
        <v>-6.1899999999999983E-2</v>
      </c>
      <c r="Z54" s="14">
        <f t="shared" si="7"/>
        <v>137.33333333333334</v>
      </c>
      <c r="AA54" s="14">
        <f t="shared" si="8"/>
        <v>82.111600000000081</v>
      </c>
      <c r="AB54" s="14">
        <f t="shared" si="9"/>
        <v>70.726666666666631</v>
      </c>
      <c r="AC54" s="15">
        <f t="shared" si="10"/>
        <v>-8.5009333333333323</v>
      </c>
    </row>
    <row r="55" spans="1:29" x14ac:dyDescent="0.35">
      <c r="A55" s="2" t="s">
        <v>117</v>
      </c>
      <c r="B55" s="2">
        <v>33</v>
      </c>
      <c r="C55" s="2" t="s">
        <v>94</v>
      </c>
      <c r="D55" s="2" t="s">
        <v>27</v>
      </c>
      <c r="E55" s="2" t="s">
        <v>28</v>
      </c>
      <c r="F55" s="2" t="s">
        <v>55</v>
      </c>
      <c r="G55" s="2">
        <v>2022</v>
      </c>
      <c r="H55" s="4">
        <v>44664</v>
      </c>
      <c r="I55" s="4"/>
      <c r="J55" s="6">
        <v>63</v>
      </c>
      <c r="K55" s="10" t="s">
        <v>52</v>
      </c>
      <c r="L55" s="6">
        <v>0</v>
      </c>
      <c r="M55" s="10" t="s">
        <v>52</v>
      </c>
      <c r="N55" s="7">
        <v>73.2</v>
      </c>
      <c r="O55" s="10" t="s">
        <v>52</v>
      </c>
      <c r="P55" s="8">
        <v>0.15429999999999999</v>
      </c>
      <c r="Q55" s="10" t="s">
        <v>52</v>
      </c>
      <c r="R55" s="9">
        <v>5.0090000000000003</v>
      </c>
      <c r="S55" s="10" t="s">
        <v>52</v>
      </c>
      <c r="T55" s="9">
        <v>4.5278999999999998</v>
      </c>
      <c r="U55" s="10" t="s">
        <v>52</v>
      </c>
      <c r="V55">
        <v>8410</v>
      </c>
      <c r="W55" s="14" t="str">
        <f t="shared" si="4"/>
        <v/>
      </c>
      <c r="X55" s="14" t="str">
        <f t="shared" si="5"/>
        <v/>
      </c>
      <c r="Y55" s="15" t="str">
        <f t="shared" si="6"/>
        <v/>
      </c>
      <c r="Z55" s="14" t="str">
        <f t="shared" si="7"/>
        <v/>
      </c>
      <c r="AA55" s="14" t="str">
        <f t="shared" si="8"/>
        <v/>
      </c>
      <c r="AB55" s="14" t="str">
        <f t="shared" si="9"/>
        <v/>
      </c>
      <c r="AC55" s="15" t="str">
        <f t="shared" si="10"/>
        <v/>
      </c>
    </row>
    <row r="56" spans="1:29" x14ac:dyDescent="0.35">
      <c r="A56" s="2" t="s">
        <v>118</v>
      </c>
      <c r="B56" s="2">
        <v>26</v>
      </c>
      <c r="C56" s="2" t="s">
        <v>34</v>
      </c>
      <c r="D56" s="2" t="s">
        <v>27</v>
      </c>
      <c r="E56" s="2" t="s">
        <v>36</v>
      </c>
      <c r="F56" s="2" t="s">
        <v>42</v>
      </c>
      <c r="G56" s="2">
        <v>2022</v>
      </c>
      <c r="H56" s="4">
        <v>44658</v>
      </c>
      <c r="I56" s="4">
        <v>45505</v>
      </c>
      <c r="J56" s="6">
        <v>14</v>
      </c>
      <c r="K56" s="6">
        <v>26</v>
      </c>
      <c r="L56" s="6">
        <v>0</v>
      </c>
      <c r="M56" s="6">
        <v>1</v>
      </c>
      <c r="N56" s="7">
        <v>20.100000000000001</v>
      </c>
      <c r="O56" s="7">
        <v>31.1</v>
      </c>
      <c r="P56" s="8">
        <v>4.8500000000000001E-2</v>
      </c>
      <c r="Q56" s="8">
        <v>0.11210000000000001</v>
      </c>
      <c r="R56" s="9">
        <v>9.2950999999999997</v>
      </c>
      <c r="S56" s="9">
        <v>2.2978999999999998</v>
      </c>
      <c r="T56" s="9">
        <v>4.0999999999999996</v>
      </c>
      <c r="U56" s="9">
        <v>2.7383999999999999</v>
      </c>
      <c r="V56">
        <v>20045</v>
      </c>
      <c r="W56" s="14">
        <f t="shared" si="4"/>
        <v>-6.9971999999999994</v>
      </c>
      <c r="X56" s="14">
        <f t="shared" si="5"/>
        <v>-1.3615999999999997</v>
      </c>
      <c r="Y56" s="15">
        <f t="shared" si="6"/>
        <v>6.3600000000000004E-2</v>
      </c>
      <c r="Z56" s="14">
        <f t="shared" si="7"/>
        <v>20.333333333333332</v>
      </c>
      <c r="AA56" s="14">
        <f t="shared" si="8"/>
        <v>-142.27639999999997</v>
      </c>
      <c r="AB56" s="14">
        <f t="shared" si="9"/>
        <v>-27.685866666666659</v>
      </c>
      <c r="AC56" s="15">
        <f t="shared" si="10"/>
        <v>1.2931999999999999</v>
      </c>
    </row>
    <row r="57" spans="1:29" x14ac:dyDescent="0.35">
      <c r="A57" s="2" t="s">
        <v>119</v>
      </c>
      <c r="B57" s="2">
        <v>23</v>
      </c>
      <c r="C57" s="2" t="s">
        <v>48</v>
      </c>
      <c r="D57" s="2" t="s">
        <v>27</v>
      </c>
      <c r="E57" s="2" t="s">
        <v>36</v>
      </c>
      <c r="F57" s="2" t="s">
        <v>42</v>
      </c>
      <c r="G57" s="2">
        <v>2022</v>
      </c>
      <c r="H57" s="4">
        <v>44656</v>
      </c>
      <c r="I57" s="4">
        <v>45064</v>
      </c>
      <c r="J57" s="6">
        <v>59</v>
      </c>
      <c r="K57" s="6">
        <v>77</v>
      </c>
      <c r="L57" s="6">
        <v>0</v>
      </c>
      <c r="M57" s="6">
        <v>64</v>
      </c>
      <c r="N57" s="7">
        <v>60.1</v>
      </c>
      <c r="O57" s="7">
        <v>364</v>
      </c>
      <c r="P57" s="8">
        <v>0.1825</v>
      </c>
      <c r="Q57" s="8">
        <v>0.26069999999999999</v>
      </c>
      <c r="R57" s="9">
        <v>2.5358999999999998</v>
      </c>
      <c r="S57" s="9">
        <v>3.0165000000000002</v>
      </c>
      <c r="T57" s="9">
        <v>2.6230000000000002</v>
      </c>
      <c r="U57" s="9">
        <v>2.9076</v>
      </c>
      <c r="V57">
        <v>27463</v>
      </c>
      <c r="W57" s="14">
        <f t="shared" si="4"/>
        <v>0.48060000000000036</v>
      </c>
      <c r="X57" s="14">
        <f t="shared" si="5"/>
        <v>0.28459999999999974</v>
      </c>
      <c r="Y57" s="15">
        <f t="shared" si="6"/>
        <v>7.8199999999999992E-2</v>
      </c>
      <c r="Z57" s="14">
        <f t="shared" si="7"/>
        <v>60.333333333333336</v>
      </c>
      <c r="AA57" s="14">
        <f t="shared" si="8"/>
        <v>28.996200000000023</v>
      </c>
      <c r="AB57" s="14">
        <f t="shared" si="9"/>
        <v>17.170866666666651</v>
      </c>
      <c r="AC57" s="15">
        <f t="shared" si="10"/>
        <v>4.7180666666666662</v>
      </c>
    </row>
    <row r="58" spans="1:29" x14ac:dyDescent="0.35">
      <c r="A58" s="2" t="s">
        <v>120</v>
      </c>
      <c r="B58" s="2">
        <v>25</v>
      </c>
      <c r="C58" s="2" t="s">
        <v>103</v>
      </c>
      <c r="D58" s="2" t="s">
        <v>27</v>
      </c>
      <c r="E58" s="2" t="s">
        <v>28</v>
      </c>
      <c r="F58" s="2" t="s">
        <v>42</v>
      </c>
      <c r="G58" s="2">
        <v>2022</v>
      </c>
      <c r="H58" s="4">
        <v>44627</v>
      </c>
      <c r="I58" s="4">
        <v>45811</v>
      </c>
      <c r="J58" s="6">
        <v>86</v>
      </c>
      <c r="K58" s="6">
        <v>3</v>
      </c>
      <c r="L58" s="6">
        <v>0</v>
      </c>
      <c r="M58" s="6">
        <v>0</v>
      </c>
      <c r="N58" s="7">
        <v>91</v>
      </c>
      <c r="O58" s="7">
        <v>4.2</v>
      </c>
      <c r="P58" s="8">
        <v>0.13139999999999999</v>
      </c>
      <c r="Q58" s="8">
        <v>0.1429</v>
      </c>
      <c r="R58" s="9">
        <v>3.5604</v>
      </c>
      <c r="S58" s="9">
        <v>5.7857000000000003</v>
      </c>
      <c r="T58" s="9">
        <v>3.6579000000000002</v>
      </c>
      <c r="U58" s="9">
        <v>10.64</v>
      </c>
      <c r="V58">
        <v>23293</v>
      </c>
      <c r="W58" s="14">
        <f t="shared" si="4"/>
        <v>2.2253000000000003</v>
      </c>
      <c r="X58" s="14">
        <f t="shared" si="5"/>
        <v>6.9821000000000009</v>
      </c>
      <c r="Y58" s="15">
        <f t="shared" si="6"/>
        <v>1.150000000000001E-2</v>
      </c>
      <c r="Z58" s="14">
        <f t="shared" si="7"/>
        <v>4.666666666666667</v>
      </c>
      <c r="AA58" s="14">
        <f t="shared" si="8"/>
        <v>10.384733333333335</v>
      </c>
      <c r="AB58" s="14">
        <f t="shared" si="9"/>
        <v>32.583133333333336</v>
      </c>
      <c r="AC58" s="15">
        <f t="shared" si="10"/>
        <v>5.3666666666666717E-2</v>
      </c>
    </row>
    <row r="59" spans="1:29" x14ac:dyDescent="0.35">
      <c r="A59" s="2" t="s">
        <v>121</v>
      </c>
      <c r="B59" s="2">
        <v>31</v>
      </c>
      <c r="C59" s="2" t="s">
        <v>48</v>
      </c>
      <c r="D59" s="2" t="s">
        <v>27</v>
      </c>
      <c r="E59" s="2" t="s">
        <v>28</v>
      </c>
      <c r="F59" s="2" t="s">
        <v>42</v>
      </c>
      <c r="G59" s="2">
        <v>2021</v>
      </c>
      <c r="H59" s="4">
        <v>44523</v>
      </c>
      <c r="I59" s="4"/>
      <c r="J59" s="6">
        <v>88</v>
      </c>
      <c r="K59" s="10" t="s">
        <v>52</v>
      </c>
      <c r="L59" s="6">
        <v>0</v>
      </c>
      <c r="M59" s="10" t="s">
        <v>52</v>
      </c>
      <c r="N59" s="7">
        <v>80.099999999999994</v>
      </c>
      <c r="O59" s="10" t="s">
        <v>52</v>
      </c>
      <c r="P59" s="8">
        <v>0.13270000000000001</v>
      </c>
      <c r="Q59" s="10" t="s">
        <v>52</v>
      </c>
      <c r="R59" s="9">
        <v>2.9129</v>
      </c>
      <c r="S59" s="10" t="s">
        <v>52</v>
      </c>
      <c r="T59" s="9">
        <v>3.5255000000000001</v>
      </c>
      <c r="U59" s="10" t="s">
        <v>52</v>
      </c>
      <c r="V59">
        <v>12297</v>
      </c>
      <c r="W59" s="14" t="str">
        <f t="shared" si="4"/>
        <v/>
      </c>
      <c r="X59" s="14" t="str">
        <f t="shared" si="5"/>
        <v/>
      </c>
      <c r="Y59" s="15" t="str">
        <f t="shared" si="6"/>
        <v/>
      </c>
      <c r="Z59" s="14" t="str">
        <f t="shared" si="7"/>
        <v/>
      </c>
      <c r="AA59" s="14" t="str">
        <f t="shared" si="8"/>
        <v/>
      </c>
      <c r="AB59" s="14" t="str">
        <f t="shared" si="9"/>
        <v/>
      </c>
      <c r="AC59" s="15" t="str">
        <f t="shared" si="10"/>
        <v/>
      </c>
    </row>
    <row r="60" spans="1:29" x14ac:dyDescent="0.35">
      <c r="A60" s="2" t="s">
        <v>122</v>
      </c>
      <c r="B60" s="2">
        <v>25</v>
      </c>
      <c r="C60" s="2" t="s">
        <v>82</v>
      </c>
      <c r="D60" s="2" t="s">
        <v>27</v>
      </c>
      <c r="E60" s="2" t="s">
        <v>36</v>
      </c>
      <c r="F60" s="2" t="s">
        <v>42</v>
      </c>
      <c r="G60" s="2">
        <v>2021</v>
      </c>
      <c r="H60" s="4">
        <v>44468</v>
      </c>
      <c r="I60" s="4">
        <v>45032</v>
      </c>
      <c r="J60" s="6">
        <v>26</v>
      </c>
      <c r="K60" s="6">
        <v>62</v>
      </c>
      <c r="L60" s="6">
        <v>0</v>
      </c>
      <c r="M60" s="6">
        <v>0</v>
      </c>
      <c r="N60" s="7">
        <v>21</v>
      </c>
      <c r="O60" s="7">
        <v>57.2</v>
      </c>
      <c r="P60" s="8">
        <v>0.08</v>
      </c>
      <c r="Q60" s="8">
        <v>0.1193</v>
      </c>
      <c r="R60" s="9">
        <v>7.7142999999999997</v>
      </c>
      <c r="S60" s="9">
        <v>4.5259999999999998</v>
      </c>
      <c r="T60" s="9">
        <v>4.8757000000000001</v>
      </c>
      <c r="U60" s="9">
        <v>4.1708999999999996</v>
      </c>
      <c r="V60">
        <v>19337</v>
      </c>
      <c r="W60" s="14">
        <f t="shared" si="4"/>
        <v>-3.1882999999999999</v>
      </c>
      <c r="X60" s="14">
        <f t="shared" si="5"/>
        <v>-0.70480000000000054</v>
      </c>
      <c r="Y60" s="15">
        <f t="shared" si="6"/>
        <v>3.9300000000000002E-2</v>
      </c>
      <c r="Z60" s="14">
        <f t="shared" si="7"/>
        <v>21</v>
      </c>
      <c r="AA60" s="14">
        <f t="shared" si="8"/>
        <v>-66.954300000000003</v>
      </c>
      <c r="AB60" s="14">
        <f t="shared" si="9"/>
        <v>-14.800800000000011</v>
      </c>
      <c r="AC60" s="15">
        <f t="shared" si="10"/>
        <v>0.82530000000000003</v>
      </c>
    </row>
    <row r="61" spans="1:29" x14ac:dyDescent="0.35">
      <c r="A61" s="2" t="s">
        <v>123</v>
      </c>
      <c r="B61" s="2">
        <v>28</v>
      </c>
      <c r="C61" s="2" t="s">
        <v>124</v>
      </c>
      <c r="D61" s="2" t="s">
        <v>27</v>
      </c>
      <c r="E61" s="2" t="s">
        <v>28</v>
      </c>
      <c r="F61" s="2" t="s">
        <v>42</v>
      </c>
      <c r="G61" s="2">
        <v>2021</v>
      </c>
      <c r="H61" s="4">
        <v>44440</v>
      </c>
      <c r="I61" s="4">
        <v>45016</v>
      </c>
      <c r="J61" s="6">
        <v>26</v>
      </c>
      <c r="K61" s="6">
        <v>18</v>
      </c>
      <c r="L61" s="6">
        <v>3</v>
      </c>
      <c r="M61" s="6">
        <v>0</v>
      </c>
      <c r="N61" s="7">
        <v>33.200000000000003</v>
      </c>
      <c r="O61" s="7">
        <v>22</v>
      </c>
      <c r="P61" s="8">
        <v>0.16309999999999999</v>
      </c>
      <c r="Q61" s="8">
        <v>9.6799999999999997E-2</v>
      </c>
      <c r="R61" s="9">
        <v>2.6732999999999998</v>
      </c>
      <c r="S61" s="9">
        <v>5.7272999999999996</v>
      </c>
      <c r="T61" s="9">
        <v>3.4523000000000001</v>
      </c>
      <c r="U61" s="9">
        <v>5.7442000000000002</v>
      </c>
      <c r="V61">
        <v>16128</v>
      </c>
      <c r="W61" s="14">
        <f t="shared" si="4"/>
        <v>3.0539999999999998</v>
      </c>
      <c r="X61" s="14">
        <f t="shared" si="5"/>
        <v>2.2919</v>
      </c>
      <c r="Y61" s="15">
        <f t="shared" si="6"/>
        <v>-6.6299999999999998E-2</v>
      </c>
      <c r="Z61" s="14">
        <f t="shared" si="7"/>
        <v>22</v>
      </c>
      <c r="AA61" s="14">
        <f t="shared" si="8"/>
        <v>67.188000000000002</v>
      </c>
      <c r="AB61" s="14">
        <f t="shared" si="9"/>
        <v>50.421800000000005</v>
      </c>
      <c r="AC61" s="15">
        <f t="shared" si="10"/>
        <v>-1.4585999999999999</v>
      </c>
    </row>
    <row r="62" spans="1:29" x14ac:dyDescent="0.35">
      <c r="A62" s="2" t="s">
        <v>125</v>
      </c>
      <c r="B62" s="2">
        <v>33</v>
      </c>
      <c r="C62" s="2" t="s">
        <v>57</v>
      </c>
      <c r="D62" s="2" t="s">
        <v>27</v>
      </c>
      <c r="E62" s="2" t="s">
        <v>28</v>
      </c>
      <c r="F62" s="2" t="s">
        <v>39</v>
      </c>
      <c r="G62" s="2">
        <v>2021</v>
      </c>
      <c r="H62" s="4">
        <v>44440</v>
      </c>
      <c r="I62" s="4">
        <v>45020</v>
      </c>
      <c r="J62" s="6">
        <v>87</v>
      </c>
      <c r="K62" s="6">
        <v>50</v>
      </c>
      <c r="L62" s="6">
        <v>57</v>
      </c>
      <c r="M62" s="6">
        <v>37</v>
      </c>
      <c r="N62" s="7">
        <v>345.2</v>
      </c>
      <c r="O62" s="7">
        <v>216.2</v>
      </c>
      <c r="P62" s="8">
        <v>0.21229999999999999</v>
      </c>
      <c r="Q62" s="8">
        <v>0.16869999999999999</v>
      </c>
      <c r="R62" s="9">
        <v>3.6972</v>
      </c>
      <c r="S62" s="9">
        <v>5.1923000000000004</v>
      </c>
      <c r="T62" s="9">
        <v>3.5021</v>
      </c>
      <c r="U62" s="9">
        <v>4.5073999999999996</v>
      </c>
      <c r="V62">
        <v>18498</v>
      </c>
      <c r="W62" s="14">
        <f t="shared" si="4"/>
        <v>1.4951000000000003</v>
      </c>
      <c r="X62" s="14">
        <f t="shared" si="5"/>
        <v>1.0052999999999996</v>
      </c>
      <c r="Y62" s="15">
        <f t="shared" si="6"/>
        <v>-4.36E-2</v>
      </c>
      <c r="Z62" s="14">
        <f t="shared" si="7"/>
        <v>216.66666666666666</v>
      </c>
      <c r="AA62" s="14">
        <f t="shared" si="8"/>
        <v>323.93833333333339</v>
      </c>
      <c r="AB62" s="14">
        <f t="shared" si="9"/>
        <v>217.81499999999991</v>
      </c>
      <c r="AC62" s="15">
        <f t="shared" si="10"/>
        <v>-9.4466666666666654</v>
      </c>
    </row>
    <row r="63" spans="1:29" x14ac:dyDescent="0.35">
      <c r="A63" s="2" t="s">
        <v>126</v>
      </c>
      <c r="B63" s="2">
        <v>38</v>
      </c>
      <c r="C63" s="2" t="s">
        <v>124</v>
      </c>
      <c r="D63" s="2" t="s">
        <v>27</v>
      </c>
      <c r="E63" s="2" t="s">
        <v>28</v>
      </c>
      <c r="F63" s="2" t="s">
        <v>127</v>
      </c>
      <c r="G63" s="2">
        <v>2021</v>
      </c>
      <c r="H63" s="4">
        <v>44440</v>
      </c>
      <c r="I63" s="4"/>
      <c r="J63" s="6">
        <v>50</v>
      </c>
      <c r="K63" s="10" t="s">
        <v>52</v>
      </c>
      <c r="L63" s="6">
        <v>1</v>
      </c>
      <c r="M63" s="10" t="s">
        <v>52</v>
      </c>
      <c r="N63" s="7">
        <v>54.2</v>
      </c>
      <c r="O63" s="10" t="s">
        <v>52</v>
      </c>
      <c r="P63" s="8">
        <v>0.13730000000000001</v>
      </c>
      <c r="Q63" s="10" t="s">
        <v>52</v>
      </c>
      <c r="R63" s="9">
        <v>5.2683</v>
      </c>
      <c r="S63" s="10" t="s">
        <v>52</v>
      </c>
      <c r="T63" s="9">
        <v>3.98</v>
      </c>
      <c r="U63" s="10" t="s">
        <v>52</v>
      </c>
      <c r="V63">
        <v>9059</v>
      </c>
      <c r="W63" s="14" t="str">
        <f t="shared" si="4"/>
        <v/>
      </c>
      <c r="X63" s="14" t="str">
        <f t="shared" si="5"/>
        <v/>
      </c>
      <c r="Y63" s="15" t="str">
        <f t="shared" si="6"/>
        <v/>
      </c>
      <c r="Z63" s="14" t="str">
        <f t="shared" si="7"/>
        <v/>
      </c>
      <c r="AA63" s="14" t="str">
        <f t="shared" si="8"/>
        <v/>
      </c>
      <c r="AB63" s="14" t="str">
        <f t="shared" si="9"/>
        <v/>
      </c>
      <c r="AC63" s="15" t="str">
        <f t="shared" si="10"/>
        <v/>
      </c>
    </row>
    <row r="64" spans="1:29" x14ac:dyDescent="0.35">
      <c r="A64" s="2" t="s">
        <v>128</v>
      </c>
      <c r="B64" s="2">
        <v>27</v>
      </c>
      <c r="C64" s="2" t="s">
        <v>61</v>
      </c>
      <c r="D64" s="2" t="s">
        <v>27</v>
      </c>
      <c r="E64" s="2" t="s">
        <v>28</v>
      </c>
      <c r="F64" s="2" t="s">
        <v>42</v>
      </c>
      <c r="G64" s="2">
        <v>2021</v>
      </c>
      <c r="H64" s="4">
        <v>44435</v>
      </c>
      <c r="I64" s="4">
        <v>45171</v>
      </c>
      <c r="J64" s="6">
        <v>13</v>
      </c>
      <c r="K64" s="6">
        <v>9</v>
      </c>
      <c r="L64" s="6">
        <v>4</v>
      </c>
      <c r="M64" s="6">
        <v>1</v>
      </c>
      <c r="N64" s="7">
        <v>35.1</v>
      </c>
      <c r="O64" s="7">
        <v>7.2</v>
      </c>
      <c r="P64" s="8">
        <v>0.20569999999999999</v>
      </c>
      <c r="Q64" s="8">
        <v>9.3799999999999994E-2</v>
      </c>
      <c r="R64" s="9">
        <v>2.8018999999999998</v>
      </c>
      <c r="S64" s="9">
        <v>2.3477999999999999</v>
      </c>
      <c r="T64" s="9">
        <v>3.64</v>
      </c>
      <c r="U64" s="9">
        <v>3.2303999999999999</v>
      </c>
      <c r="V64">
        <v>16233</v>
      </c>
      <c r="W64" s="14">
        <f t="shared" si="4"/>
        <v>-0.45409999999999995</v>
      </c>
      <c r="X64" s="14">
        <f t="shared" si="5"/>
        <v>-0.40960000000000019</v>
      </c>
      <c r="Y64" s="15">
        <f t="shared" si="6"/>
        <v>-0.1119</v>
      </c>
      <c r="Z64" s="14">
        <f t="shared" si="7"/>
        <v>7.666666666666667</v>
      </c>
      <c r="AA64" s="14">
        <f t="shared" si="8"/>
        <v>-3.4814333333333329</v>
      </c>
      <c r="AB64" s="14">
        <f t="shared" si="9"/>
        <v>-3.1402666666666681</v>
      </c>
      <c r="AC64" s="15">
        <f t="shared" si="10"/>
        <v>-0.8579</v>
      </c>
    </row>
    <row r="65" spans="1:29" x14ac:dyDescent="0.35">
      <c r="A65" s="2" t="s">
        <v>129</v>
      </c>
      <c r="B65" s="2">
        <v>27</v>
      </c>
      <c r="C65" s="2" t="s">
        <v>46</v>
      </c>
      <c r="D65" s="2" t="s">
        <v>27</v>
      </c>
      <c r="E65" s="2" t="s">
        <v>28</v>
      </c>
      <c r="F65" s="2" t="s">
        <v>42</v>
      </c>
      <c r="G65" s="2">
        <v>2021</v>
      </c>
      <c r="H65" s="4">
        <v>44412</v>
      </c>
      <c r="I65" s="4">
        <v>44832</v>
      </c>
      <c r="J65" s="6">
        <v>68</v>
      </c>
      <c r="K65" s="6">
        <v>45</v>
      </c>
      <c r="L65" s="6">
        <v>34</v>
      </c>
      <c r="M65" s="6">
        <v>45</v>
      </c>
      <c r="N65" s="7">
        <v>229.2</v>
      </c>
      <c r="O65" s="7">
        <v>260.2</v>
      </c>
      <c r="P65" s="8">
        <v>0.2286</v>
      </c>
      <c r="Q65" s="8">
        <v>0.25750000000000001</v>
      </c>
      <c r="R65" s="9">
        <v>3.5659999999999998</v>
      </c>
      <c r="S65" s="9">
        <v>3.4527000000000001</v>
      </c>
      <c r="T65" s="9">
        <v>3.4554999999999998</v>
      </c>
      <c r="U65" s="9">
        <v>2.9060999999999999</v>
      </c>
      <c r="V65">
        <v>14374</v>
      </c>
      <c r="W65" s="14">
        <f t="shared" si="4"/>
        <v>-0.11329999999999973</v>
      </c>
      <c r="X65" s="14">
        <f t="shared" si="5"/>
        <v>-0.54939999999999989</v>
      </c>
      <c r="Y65" s="15">
        <f t="shared" si="6"/>
        <v>2.8900000000000009E-2</v>
      </c>
      <c r="Z65" s="14">
        <f t="shared" si="7"/>
        <v>229.66666666666666</v>
      </c>
      <c r="AA65" s="14">
        <f t="shared" si="8"/>
        <v>-26.021233333333271</v>
      </c>
      <c r="AB65" s="14">
        <f t="shared" si="9"/>
        <v>-126.17886666666664</v>
      </c>
      <c r="AC65" s="15">
        <f t="shared" si="10"/>
        <v>6.6373666666666686</v>
      </c>
    </row>
    <row r="66" spans="1:29" x14ac:dyDescent="0.35">
      <c r="A66" s="2" t="s">
        <v>130</v>
      </c>
      <c r="B66" s="2">
        <v>32</v>
      </c>
      <c r="C66" s="2" t="s">
        <v>44</v>
      </c>
      <c r="D66" s="2" t="s">
        <v>27</v>
      </c>
      <c r="E66" s="2" t="s">
        <v>28</v>
      </c>
      <c r="F66" s="2" t="s">
        <v>42</v>
      </c>
      <c r="G66" s="2">
        <v>2021</v>
      </c>
      <c r="H66" s="4">
        <v>44409</v>
      </c>
      <c r="I66" s="4"/>
      <c r="J66" s="6">
        <v>10</v>
      </c>
      <c r="K66" s="10" t="s">
        <v>52</v>
      </c>
      <c r="L66" s="6">
        <v>3</v>
      </c>
      <c r="M66" s="10" t="s">
        <v>52</v>
      </c>
      <c r="N66" s="7">
        <v>22</v>
      </c>
      <c r="O66" s="10" t="s">
        <v>52</v>
      </c>
      <c r="P66" s="8">
        <v>8.5699999999999998E-2</v>
      </c>
      <c r="Q66" s="10" t="s">
        <v>52</v>
      </c>
      <c r="R66" s="9">
        <v>6.9545000000000003</v>
      </c>
      <c r="S66" s="10" t="s">
        <v>52</v>
      </c>
      <c r="T66" s="9">
        <v>5.8</v>
      </c>
      <c r="U66" s="10" t="s">
        <v>52</v>
      </c>
      <c r="V66">
        <v>10547</v>
      </c>
      <c r="W66" s="14" t="str">
        <f t="shared" si="4"/>
        <v/>
      </c>
      <c r="X66" s="14" t="str">
        <f t="shared" si="5"/>
        <v/>
      </c>
      <c r="Y66" s="15" t="str">
        <f t="shared" si="6"/>
        <v/>
      </c>
      <c r="Z66" s="14" t="str">
        <f t="shared" ref="Z66:Z97" si="11">IF(AND(ISNUMBER(N66),ISNUMBER(O66),ISNUMBER(P66),ISNUMBER(Q66),ISNUMBER(R66),ISNUMBER(S66),ISNUMBER(T66),ISNUMBER(U66),N66&gt;0,O66&gt;0),MIN((INT(N66)*3+ROUND(MOD(N66,1)*10,0))/3,(INT(O66)*3+ROUND(MOD(O66,1)*10,0))/3),"")</f>
        <v/>
      </c>
      <c r="AA66" s="14" t="str">
        <f t="shared" ref="AA66:AA97" si="12">IF(ISNUMBER(Z66),W66*Z66,"")</f>
        <v/>
      </c>
      <c r="AB66" s="14" t="str">
        <f t="shared" ref="AB66:AB97" si="13">IF(ISNUMBER(Z66),X66*Z66,"")</f>
        <v/>
      </c>
      <c r="AC66" s="15" t="str">
        <f t="shared" ref="AC66:AC97" si="14">IF(ISNUMBER(Z66),Y66*Z66,"")</f>
        <v/>
      </c>
    </row>
    <row r="67" spans="1:29" x14ac:dyDescent="0.35">
      <c r="A67" s="2" t="s">
        <v>131</v>
      </c>
      <c r="B67" s="2">
        <v>28</v>
      </c>
      <c r="C67" s="2" t="s">
        <v>66</v>
      </c>
      <c r="D67" s="2" t="s">
        <v>27</v>
      </c>
      <c r="E67" s="2" t="s">
        <v>28</v>
      </c>
      <c r="F67" s="2" t="s">
        <v>42</v>
      </c>
      <c r="G67" s="2">
        <v>2021</v>
      </c>
      <c r="H67" s="4">
        <v>44406</v>
      </c>
      <c r="I67" s="4">
        <v>45017</v>
      </c>
      <c r="J67" s="6">
        <v>45</v>
      </c>
      <c r="K67" s="6">
        <v>24</v>
      </c>
      <c r="L67" s="6">
        <v>44</v>
      </c>
      <c r="M67" s="6">
        <v>14</v>
      </c>
      <c r="N67" s="7">
        <v>221.1</v>
      </c>
      <c r="O67" s="7">
        <v>85.1</v>
      </c>
      <c r="P67" s="8">
        <v>0.1241</v>
      </c>
      <c r="Q67" s="8">
        <v>0.12809999999999999</v>
      </c>
      <c r="R67" s="9">
        <v>4.5541999999999998</v>
      </c>
      <c r="S67" s="9">
        <v>4.3242000000000003</v>
      </c>
      <c r="T67" s="9">
        <v>3.7778999999999998</v>
      </c>
      <c r="U67" s="9">
        <v>4.4676</v>
      </c>
      <c r="V67">
        <v>16207</v>
      </c>
      <c r="W67" s="14">
        <f t="shared" ref="W67:W130" si="15">IF(AND(ISNUMBER(N67),ISNUMBER(O67),ISNUMBER(P67),ISNUMBER(Q67),ISNUMBER(R67),ISNUMBER(S67),ISNUMBER(T67),ISNUMBER(U67),N67&gt;0,O67&gt;0),S67-R67,"")</f>
        <v>-0.22999999999999954</v>
      </c>
      <c r="X67" s="14">
        <f t="shared" ref="X67:X130" si="16">IF(AND(ISNUMBER(N67),ISNUMBER(O67),ISNUMBER(P67),ISNUMBER(Q67),ISNUMBER(R67),ISNUMBER(S67),ISNUMBER(T67),ISNUMBER(U67),N67&gt;0,O67&gt;0),U67-T67,"")</f>
        <v>0.6897000000000002</v>
      </c>
      <c r="Y67" s="15">
        <f t="shared" ref="Y67:Y130" si="17">IF(AND(ISNUMBER(N67),ISNUMBER(O67),ISNUMBER(P67),ISNUMBER(Q67),ISNUMBER(R67),ISNUMBER(S67),ISNUMBER(T67),ISNUMBER(U67),N67&gt;0,O67&gt;0),Q67-P67,"")</f>
        <v>3.9999999999999897E-3</v>
      </c>
      <c r="Z67" s="14">
        <f t="shared" si="11"/>
        <v>85.333333333333329</v>
      </c>
      <c r="AA67" s="14">
        <f t="shared" si="12"/>
        <v>-19.626666666666626</v>
      </c>
      <c r="AB67" s="14">
        <f t="shared" si="13"/>
        <v>58.854400000000012</v>
      </c>
      <c r="AC67" s="15">
        <f t="shared" si="14"/>
        <v>0.34133333333333243</v>
      </c>
    </row>
    <row r="68" spans="1:29" x14ac:dyDescent="0.35">
      <c r="A68" s="2" t="s">
        <v>132</v>
      </c>
      <c r="B68" s="2">
        <v>28</v>
      </c>
      <c r="C68" s="2" t="s">
        <v>51</v>
      </c>
      <c r="D68" s="2" t="s">
        <v>27</v>
      </c>
      <c r="E68" s="2" t="s">
        <v>28</v>
      </c>
      <c r="F68" s="2" t="s">
        <v>42</v>
      </c>
      <c r="G68" s="2">
        <v>2021</v>
      </c>
      <c r="H68" s="4">
        <v>44376</v>
      </c>
      <c r="I68" s="4">
        <v>45453</v>
      </c>
      <c r="J68" s="6">
        <v>61</v>
      </c>
      <c r="K68" s="6">
        <v>5</v>
      </c>
      <c r="L68" s="6">
        <v>0</v>
      </c>
      <c r="M68" s="6">
        <v>1</v>
      </c>
      <c r="N68" s="7">
        <v>55.2</v>
      </c>
      <c r="O68" s="7">
        <v>3.2</v>
      </c>
      <c r="P68" s="8">
        <v>0.10920000000000001</v>
      </c>
      <c r="Q68" s="8">
        <v>9.5200000000000007E-2</v>
      </c>
      <c r="R68" s="9">
        <v>4.5269000000000004</v>
      </c>
      <c r="S68" s="9">
        <v>14.7273</v>
      </c>
      <c r="T68" s="9">
        <v>4.4612999999999996</v>
      </c>
      <c r="U68" s="9">
        <v>7.26</v>
      </c>
      <c r="V68">
        <v>16507</v>
      </c>
      <c r="W68" s="14">
        <f t="shared" si="15"/>
        <v>10.200399999999998</v>
      </c>
      <c r="X68" s="14">
        <f t="shared" si="16"/>
        <v>2.7987000000000002</v>
      </c>
      <c r="Y68" s="15">
        <f t="shared" si="17"/>
        <v>-1.3999999999999999E-2</v>
      </c>
      <c r="Z68" s="14">
        <f t="shared" si="11"/>
        <v>3.6666666666666665</v>
      </c>
      <c r="AA68" s="14">
        <f t="shared" si="12"/>
        <v>37.401466666666657</v>
      </c>
      <c r="AB68" s="14">
        <f t="shared" si="13"/>
        <v>10.261900000000001</v>
      </c>
      <c r="AC68" s="15">
        <f t="shared" si="14"/>
        <v>-5.1333333333333328E-2</v>
      </c>
    </row>
    <row r="69" spans="1:29" x14ac:dyDescent="0.35">
      <c r="A69" s="2" t="s">
        <v>133</v>
      </c>
      <c r="B69" s="2">
        <v>28</v>
      </c>
      <c r="C69" s="2" t="s">
        <v>114</v>
      </c>
      <c r="D69" s="2" t="s">
        <v>27</v>
      </c>
      <c r="E69" s="2" t="s">
        <v>36</v>
      </c>
      <c r="F69" s="2" t="s">
        <v>42</v>
      </c>
      <c r="G69" s="2">
        <v>2021</v>
      </c>
      <c r="H69" s="4">
        <v>44371</v>
      </c>
      <c r="I69" s="4">
        <v>45037</v>
      </c>
      <c r="J69" s="6">
        <v>59</v>
      </c>
      <c r="K69" s="6">
        <v>11</v>
      </c>
      <c r="L69" s="6">
        <v>58</v>
      </c>
      <c r="M69" s="6">
        <v>11</v>
      </c>
      <c r="N69" s="7">
        <v>299.10000000000002</v>
      </c>
      <c r="O69" s="7">
        <v>57</v>
      </c>
      <c r="P69" s="8">
        <v>0.16350000000000001</v>
      </c>
      <c r="Q69" s="8">
        <v>5.8099999999999999E-2</v>
      </c>
      <c r="R69" s="9">
        <v>4.2093999999999996</v>
      </c>
      <c r="S69" s="9">
        <v>3.3157999999999999</v>
      </c>
      <c r="T69" s="9">
        <v>4.2088000000000001</v>
      </c>
      <c r="U69" s="9">
        <v>4.4321000000000002</v>
      </c>
      <c r="V69">
        <v>19320</v>
      </c>
      <c r="W69" s="14">
        <f t="shared" si="15"/>
        <v>-0.89359999999999973</v>
      </c>
      <c r="X69" s="14">
        <f t="shared" si="16"/>
        <v>0.22330000000000005</v>
      </c>
      <c r="Y69" s="15">
        <f t="shared" si="17"/>
        <v>-0.10540000000000001</v>
      </c>
      <c r="Z69" s="14">
        <f t="shared" si="11"/>
        <v>57</v>
      </c>
      <c r="AA69" s="14">
        <f t="shared" si="12"/>
        <v>-50.935199999999988</v>
      </c>
      <c r="AB69" s="14">
        <f t="shared" si="13"/>
        <v>12.728100000000003</v>
      </c>
      <c r="AC69" s="15">
        <f t="shared" si="14"/>
        <v>-6.0078000000000005</v>
      </c>
    </row>
    <row r="70" spans="1:29" x14ac:dyDescent="0.35">
      <c r="A70" s="2" t="s">
        <v>134</v>
      </c>
      <c r="B70" s="2">
        <v>30</v>
      </c>
      <c r="C70" s="2" t="s">
        <v>41</v>
      </c>
      <c r="D70" s="2" t="s">
        <v>27</v>
      </c>
      <c r="E70" s="2" t="s">
        <v>28</v>
      </c>
      <c r="F70" s="2" t="s">
        <v>42</v>
      </c>
      <c r="G70" s="2">
        <v>2021</v>
      </c>
      <c r="H70" s="4">
        <v>44348</v>
      </c>
      <c r="I70" s="4">
        <v>44771</v>
      </c>
      <c r="J70" s="6">
        <v>115</v>
      </c>
      <c r="K70" s="6">
        <v>70</v>
      </c>
      <c r="L70" s="6">
        <v>2</v>
      </c>
      <c r="M70" s="6">
        <v>0</v>
      </c>
      <c r="N70" s="7">
        <v>120</v>
      </c>
      <c r="O70" s="7">
        <v>83.2</v>
      </c>
      <c r="P70" s="8">
        <v>0.1767</v>
      </c>
      <c r="Q70" s="8">
        <v>0.14360000000000001</v>
      </c>
      <c r="R70" s="9">
        <v>4.875</v>
      </c>
      <c r="S70" s="9">
        <v>5.9162999999999997</v>
      </c>
      <c r="T70" s="9">
        <v>4.6249000000000002</v>
      </c>
      <c r="U70" s="9">
        <v>5.1357999999999997</v>
      </c>
      <c r="V70">
        <v>12763</v>
      </c>
      <c r="W70" s="14">
        <f t="shared" si="15"/>
        <v>1.0412999999999997</v>
      </c>
      <c r="X70" s="14">
        <f t="shared" si="16"/>
        <v>0.51089999999999947</v>
      </c>
      <c r="Y70" s="15">
        <f t="shared" si="17"/>
        <v>-3.3099999999999991E-2</v>
      </c>
      <c r="Z70" s="14">
        <f t="shared" si="11"/>
        <v>83.666666666666671</v>
      </c>
      <c r="AA70" s="14">
        <f t="shared" si="12"/>
        <v>87.122099999999975</v>
      </c>
      <c r="AB70" s="14">
        <f t="shared" si="13"/>
        <v>42.745299999999958</v>
      </c>
      <c r="AC70" s="15">
        <f t="shared" si="14"/>
        <v>-2.7693666666666661</v>
      </c>
    </row>
    <row r="71" spans="1:29" x14ac:dyDescent="0.35">
      <c r="A71" s="2" t="s">
        <v>135</v>
      </c>
      <c r="B71" s="2">
        <v>24</v>
      </c>
      <c r="C71" s="2" t="s">
        <v>136</v>
      </c>
      <c r="D71" s="2" t="s">
        <v>27</v>
      </c>
      <c r="E71" s="2" t="s">
        <v>36</v>
      </c>
      <c r="F71" s="2" t="s">
        <v>42</v>
      </c>
      <c r="G71" s="2">
        <v>2021</v>
      </c>
      <c r="H71" s="4">
        <v>44341</v>
      </c>
      <c r="I71" s="4">
        <v>44758</v>
      </c>
      <c r="J71" s="6">
        <v>12</v>
      </c>
      <c r="K71" s="6">
        <v>109</v>
      </c>
      <c r="L71" s="6">
        <v>0</v>
      </c>
      <c r="M71" s="6">
        <v>0</v>
      </c>
      <c r="N71" s="7">
        <v>10.199999999999999</v>
      </c>
      <c r="O71" s="7">
        <v>112</v>
      </c>
      <c r="P71" s="8">
        <v>0.17019999999999999</v>
      </c>
      <c r="Q71" s="8">
        <v>0.16189999999999999</v>
      </c>
      <c r="R71" s="9">
        <v>7.5937999999999999</v>
      </c>
      <c r="S71" s="9">
        <v>3.6964000000000001</v>
      </c>
      <c r="T71" s="9">
        <v>3.66</v>
      </c>
      <c r="U71" s="9">
        <v>3.7418</v>
      </c>
      <c r="V71">
        <v>19574</v>
      </c>
      <c r="W71" s="14">
        <f t="shared" si="15"/>
        <v>-3.8973999999999998</v>
      </c>
      <c r="X71" s="14">
        <f t="shared" si="16"/>
        <v>8.1799999999999873E-2</v>
      </c>
      <c r="Y71" s="15">
        <f t="shared" si="17"/>
        <v>-8.3000000000000018E-3</v>
      </c>
      <c r="Z71" s="14">
        <f t="shared" si="11"/>
        <v>10.666666666666666</v>
      </c>
      <c r="AA71" s="14">
        <f t="shared" si="12"/>
        <v>-41.572266666666664</v>
      </c>
      <c r="AB71" s="14">
        <f t="shared" si="13"/>
        <v>0.87253333333333194</v>
      </c>
      <c r="AC71" s="15">
        <f t="shared" si="14"/>
        <v>-8.8533333333333353E-2</v>
      </c>
    </row>
    <row r="72" spans="1:29" x14ac:dyDescent="0.35">
      <c r="A72" s="2" t="s">
        <v>137</v>
      </c>
      <c r="B72" s="2">
        <v>28</v>
      </c>
      <c r="C72" s="2" t="s">
        <v>51</v>
      </c>
      <c r="D72" s="2" t="s">
        <v>27</v>
      </c>
      <c r="E72" s="2" t="s">
        <v>28</v>
      </c>
      <c r="F72" s="2" t="s">
        <v>42</v>
      </c>
      <c r="G72" s="2">
        <v>2021</v>
      </c>
      <c r="H72" s="4">
        <v>44335</v>
      </c>
      <c r="I72" s="4"/>
      <c r="J72" s="6">
        <v>89</v>
      </c>
      <c r="K72" s="10" t="s">
        <v>52</v>
      </c>
      <c r="L72" s="6">
        <v>0</v>
      </c>
      <c r="M72" s="10" t="s">
        <v>52</v>
      </c>
      <c r="N72" s="7">
        <v>83.2</v>
      </c>
      <c r="O72" s="10" t="s">
        <v>52</v>
      </c>
      <c r="P72" s="8">
        <v>0.2082</v>
      </c>
      <c r="Q72" s="10" t="s">
        <v>52</v>
      </c>
      <c r="R72" s="9">
        <v>2.9043999999999999</v>
      </c>
      <c r="S72" s="10" t="s">
        <v>52</v>
      </c>
      <c r="T72" s="9">
        <v>3.2898000000000001</v>
      </c>
      <c r="U72" s="10" t="s">
        <v>52</v>
      </c>
      <c r="V72">
        <v>14696</v>
      </c>
      <c r="W72" s="14" t="str">
        <f t="shared" si="15"/>
        <v/>
      </c>
      <c r="X72" s="14" t="str">
        <f t="shared" si="16"/>
        <v/>
      </c>
      <c r="Y72" s="15" t="str">
        <f t="shared" si="17"/>
        <v/>
      </c>
      <c r="Z72" s="14" t="str">
        <f t="shared" si="11"/>
        <v/>
      </c>
      <c r="AA72" s="14" t="str">
        <f t="shared" si="12"/>
        <v/>
      </c>
      <c r="AB72" s="14" t="str">
        <f t="shared" si="13"/>
        <v/>
      </c>
      <c r="AC72" s="15" t="str">
        <f t="shared" si="14"/>
        <v/>
      </c>
    </row>
    <row r="73" spans="1:29" x14ac:dyDescent="0.35">
      <c r="A73" s="2" t="s">
        <v>59</v>
      </c>
      <c r="B73" s="2">
        <v>23</v>
      </c>
      <c r="C73" s="2" t="s">
        <v>44</v>
      </c>
      <c r="D73" s="2" t="s">
        <v>27</v>
      </c>
      <c r="E73" s="2" t="s">
        <v>28</v>
      </c>
      <c r="F73" s="2" t="s">
        <v>42</v>
      </c>
      <c r="G73" s="2">
        <v>2021</v>
      </c>
      <c r="H73" s="4">
        <v>44328</v>
      </c>
      <c r="I73" s="4">
        <v>44793</v>
      </c>
      <c r="J73" s="6">
        <v>26</v>
      </c>
      <c r="K73" s="6">
        <v>15</v>
      </c>
      <c r="L73" s="6">
        <v>14</v>
      </c>
      <c r="M73" s="6">
        <v>15</v>
      </c>
      <c r="N73" s="7">
        <v>90.2</v>
      </c>
      <c r="O73" s="7">
        <v>78</v>
      </c>
      <c r="P73" s="8">
        <v>0.1507</v>
      </c>
      <c r="Q73" s="8">
        <v>0.1051</v>
      </c>
      <c r="R73" s="9">
        <v>2.9779</v>
      </c>
      <c r="S73" s="9">
        <v>3.3462000000000001</v>
      </c>
      <c r="T73" s="9">
        <v>3.9624000000000001</v>
      </c>
      <c r="U73" s="9">
        <v>3.6722999999999999</v>
      </c>
      <c r="V73">
        <v>19716</v>
      </c>
      <c r="W73" s="14">
        <f t="shared" si="15"/>
        <v>0.36830000000000007</v>
      </c>
      <c r="X73" s="14">
        <f t="shared" si="16"/>
        <v>-0.29010000000000025</v>
      </c>
      <c r="Y73" s="15">
        <f t="shared" si="17"/>
        <v>-4.5600000000000002E-2</v>
      </c>
      <c r="Z73" s="14">
        <f t="shared" si="11"/>
        <v>78</v>
      </c>
      <c r="AA73" s="14">
        <f t="shared" si="12"/>
        <v>28.727400000000006</v>
      </c>
      <c r="AB73" s="14">
        <f t="shared" si="13"/>
        <v>-22.627800000000018</v>
      </c>
      <c r="AC73" s="15">
        <f t="shared" si="14"/>
        <v>-3.5568</v>
      </c>
    </row>
    <row r="74" spans="1:29" x14ac:dyDescent="0.35">
      <c r="A74" s="2" t="s">
        <v>138</v>
      </c>
      <c r="B74" s="2">
        <v>29</v>
      </c>
      <c r="C74" s="2" t="s">
        <v>44</v>
      </c>
      <c r="D74" s="2" t="s">
        <v>27</v>
      </c>
      <c r="E74" s="2" t="s">
        <v>28</v>
      </c>
      <c r="F74" s="2" t="s">
        <v>42</v>
      </c>
      <c r="G74" s="2">
        <v>2021</v>
      </c>
      <c r="H74" s="4">
        <v>44317</v>
      </c>
      <c r="I74" s="4">
        <v>45043</v>
      </c>
      <c r="J74" s="6">
        <v>22</v>
      </c>
      <c r="K74" s="6">
        <v>44</v>
      </c>
      <c r="L74" s="6">
        <v>2</v>
      </c>
      <c r="M74" s="6">
        <v>0</v>
      </c>
      <c r="N74" s="7">
        <v>43.1</v>
      </c>
      <c r="O74" s="7">
        <v>43.1</v>
      </c>
      <c r="P74" s="8">
        <v>7.4800000000000005E-2</v>
      </c>
      <c r="Q74" s="8">
        <v>0.2273</v>
      </c>
      <c r="R74" s="9">
        <v>8.3077000000000005</v>
      </c>
      <c r="S74" s="9">
        <v>2.2846000000000002</v>
      </c>
      <c r="T74" s="9">
        <v>7.6931000000000003</v>
      </c>
      <c r="U74" s="9">
        <v>2.7848000000000002</v>
      </c>
      <c r="V74">
        <v>16727</v>
      </c>
      <c r="W74" s="14">
        <f t="shared" si="15"/>
        <v>-6.0231000000000003</v>
      </c>
      <c r="X74" s="14">
        <f t="shared" si="16"/>
        <v>-4.9083000000000006</v>
      </c>
      <c r="Y74" s="15">
        <f t="shared" si="17"/>
        <v>0.1525</v>
      </c>
      <c r="Z74" s="14">
        <f t="shared" si="11"/>
        <v>43.333333333333336</v>
      </c>
      <c r="AA74" s="14">
        <f t="shared" si="12"/>
        <v>-261.00100000000003</v>
      </c>
      <c r="AB74" s="14">
        <f t="shared" si="13"/>
        <v>-212.69300000000004</v>
      </c>
      <c r="AC74" s="15">
        <f t="shared" si="14"/>
        <v>6.6083333333333334</v>
      </c>
    </row>
    <row r="75" spans="1:29" x14ac:dyDescent="0.35">
      <c r="A75" s="2" t="s">
        <v>139</v>
      </c>
      <c r="B75" s="2">
        <v>24</v>
      </c>
      <c r="C75" s="2" t="s">
        <v>64</v>
      </c>
      <c r="D75" s="2" t="s">
        <v>27</v>
      </c>
      <c r="E75" s="2" t="s">
        <v>28</v>
      </c>
      <c r="F75" s="2" t="s">
        <v>42</v>
      </c>
      <c r="G75" s="2">
        <v>2021</v>
      </c>
      <c r="H75" s="4">
        <v>44317</v>
      </c>
      <c r="I75" s="4"/>
      <c r="J75" s="6">
        <v>5</v>
      </c>
      <c r="K75" s="10" t="s">
        <v>52</v>
      </c>
      <c r="L75" s="6">
        <v>4</v>
      </c>
      <c r="M75" s="10" t="s">
        <v>52</v>
      </c>
      <c r="N75" s="7">
        <v>15.2</v>
      </c>
      <c r="O75" s="10" t="s">
        <v>52</v>
      </c>
      <c r="P75" s="8">
        <v>0.1176</v>
      </c>
      <c r="Q75" s="10" t="s">
        <v>52</v>
      </c>
      <c r="R75" s="9">
        <v>5.1702000000000004</v>
      </c>
      <c r="S75" s="10" t="s">
        <v>52</v>
      </c>
      <c r="T75" s="9">
        <v>5.74</v>
      </c>
      <c r="U75" s="10" t="s">
        <v>52</v>
      </c>
      <c r="V75">
        <v>19942</v>
      </c>
      <c r="W75" s="14" t="str">
        <f t="shared" si="15"/>
        <v/>
      </c>
      <c r="X75" s="14" t="str">
        <f t="shared" si="16"/>
        <v/>
      </c>
      <c r="Y75" s="15" t="str">
        <f t="shared" si="17"/>
        <v/>
      </c>
      <c r="Z75" s="14" t="str">
        <f t="shared" si="11"/>
        <v/>
      </c>
      <c r="AA75" s="14" t="str">
        <f t="shared" si="12"/>
        <v/>
      </c>
      <c r="AB75" s="14" t="str">
        <f t="shared" si="13"/>
        <v/>
      </c>
      <c r="AC75" s="15" t="str">
        <f t="shared" si="14"/>
        <v/>
      </c>
    </row>
    <row r="76" spans="1:29" x14ac:dyDescent="0.35">
      <c r="A76" s="2" t="s">
        <v>140</v>
      </c>
      <c r="B76" s="2">
        <v>31</v>
      </c>
      <c r="C76" s="2" t="s">
        <v>85</v>
      </c>
      <c r="D76" s="2" t="s">
        <v>27</v>
      </c>
      <c r="E76" s="2" t="s">
        <v>36</v>
      </c>
      <c r="F76" s="2" t="s">
        <v>55</v>
      </c>
      <c r="G76" s="2">
        <v>2021</v>
      </c>
      <c r="H76" s="4">
        <v>44314</v>
      </c>
      <c r="I76" s="4"/>
      <c r="J76" s="6">
        <v>125</v>
      </c>
      <c r="K76" s="10" t="s">
        <v>52</v>
      </c>
      <c r="L76" s="6">
        <v>0</v>
      </c>
      <c r="M76" s="10" t="s">
        <v>52</v>
      </c>
      <c r="N76" s="7">
        <v>85.2</v>
      </c>
      <c r="O76" s="10" t="s">
        <v>52</v>
      </c>
      <c r="P76" s="8">
        <v>0.1406</v>
      </c>
      <c r="Q76" s="10" t="s">
        <v>52</v>
      </c>
      <c r="R76" s="9">
        <v>4.3074000000000003</v>
      </c>
      <c r="S76" s="10" t="s">
        <v>52</v>
      </c>
      <c r="T76" s="9">
        <v>4.0667</v>
      </c>
      <c r="U76" s="10" t="s">
        <v>52</v>
      </c>
      <c r="V76">
        <v>2882</v>
      </c>
      <c r="W76" s="14" t="str">
        <f t="shared" si="15"/>
        <v/>
      </c>
      <c r="X76" s="14" t="str">
        <f t="shared" si="16"/>
        <v/>
      </c>
      <c r="Y76" s="15" t="str">
        <f t="shared" si="17"/>
        <v/>
      </c>
      <c r="Z76" s="14" t="str">
        <f t="shared" si="11"/>
        <v/>
      </c>
      <c r="AA76" s="14" t="str">
        <f t="shared" si="12"/>
        <v/>
      </c>
      <c r="AB76" s="14" t="str">
        <f t="shared" si="13"/>
        <v/>
      </c>
      <c r="AC76" s="15" t="str">
        <f t="shared" si="14"/>
        <v/>
      </c>
    </row>
    <row r="77" spans="1:29" x14ac:dyDescent="0.35">
      <c r="A77" s="2" t="s">
        <v>141</v>
      </c>
      <c r="B77" s="2">
        <v>22</v>
      </c>
      <c r="C77" s="2" t="s">
        <v>51</v>
      </c>
      <c r="D77" s="2" t="s">
        <v>27</v>
      </c>
      <c r="E77" s="2" t="s">
        <v>36</v>
      </c>
      <c r="F77" s="2" t="s">
        <v>29</v>
      </c>
      <c r="G77" s="2">
        <v>2021</v>
      </c>
      <c r="H77" s="4">
        <v>44306</v>
      </c>
      <c r="I77" s="4">
        <v>44719</v>
      </c>
      <c r="J77" s="6">
        <v>14</v>
      </c>
      <c r="K77" s="6">
        <v>94</v>
      </c>
      <c r="L77" s="6">
        <v>6</v>
      </c>
      <c r="M77" s="6">
        <v>1</v>
      </c>
      <c r="N77" s="7">
        <v>27.1</v>
      </c>
      <c r="O77" s="7">
        <v>106.2</v>
      </c>
      <c r="P77" s="8">
        <v>0.22309999999999999</v>
      </c>
      <c r="Q77" s="8">
        <v>0.1575</v>
      </c>
      <c r="R77" s="9">
        <v>6.2561</v>
      </c>
      <c r="S77" s="9">
        <v>3.6280999999999999</v>
      </c>
      <c r="T77" s="9">
        <v>5.2801999999999998</v>
      </c>
      <c r="U77" s="9">
        <v>3.2892999999999999</v>
      </c>
      <c r="V77">
        <v>20039</v>
      </c>
      <c r="W77" s="14">
        <f t="shared" si="15"/>
        <v>-2.6280000000000001</v>
      </c>
      <c r="X77" s="14">
        <f t="shared" si="16"/>
        <v>-1.9908999999999999</v>
      </c>
      <c r="Y77" s="15">
        <f t="shared" si="17"/>
        <v>-6.5599999999999992E-2</v>
      </c>
      <c r="Z77" s="14">
        <f t="shared" si="11"/>
        <v>27.333333333333332</v>
      </c>
      <c r="AA77" s="14">
        <f t="shared" si="12"/>
        <v>-71.831999999999994</v>
      </c>
      <c r="AB77" s="14">
        <f t="shared" si="13"/>
        <v>-54.41793333333333</v>
      </c>
      <c r="AC77" s="15">
        <f t="shared" si="14"/>
        <v>-1.7930666666666664</v>
      </c>
    </row>
    <row r="78" spans="1:29" x14ac:dyDescent="0.35">
      <c r="A78" s="2" t="s">
        <v>142</v>
      </c>
      <c r="B78" s="2">
        <v>32</v>
      </c>
      <c r="C78" s="2" t="s">
        <v>64</v>
      </c>
      <c r="D78" s="2" t="s">
        <v>27</v>
      </c>
      <c r="E78" s="2" t="s">
        <v>36</v>
      </c>
      <c r="F78" s="2" t="s">
        <v>127</v>
      </c>
      <c r="G78" s="2">
        <v>2021</v>
      </c>
      <c r="H78" s="4">
        <v>44300</v>
      </c>
      <c r="I78" s="4">
        <v>45058</v>
      </c>
      <c r="J78" s="6">
        <v>62</v>
      </c>
      <c r="K78" s="6">
        <v>40</v>
      </c>
      <c r="L78" s="6">
        <v>62</v>
      </c>
      <c r="M78" s="6">
        <v>40</v>
      </c>
      <c r="N78" s="7">
        <v>331.1</v>
      </c>
      <c r="O78" s="7">
        <v>196.1</v>
      </c>
      <c r="P78" s="8">
        <v>0.23100000000000001</v>
      </c>
      <c r="Q78" s="8">
        <v>0.10730000000000001</v>
      </c>
      <c r="R78" s="9">
        <v>3.9658000000000002</v>
      </c>
      <c r="S78" s="9">
        <v>4.4465000000000003</v>
      </c>
      <c r="T78" s="9">
        <v>3.5863999999999998</v>
      </c>
      <c r="U78" s="9">
        <v>4.7362000000000002</v>
      </c>
      <c r="V78">
        <v>11828</v>
      </c>
      <c r="W78" s="14">
        <f t="shared" si="15"/>
        <v>0.48070000000000013</v>
      </c>
      <c r="X78" s="14">
        <f t="shared" si="16"/>
        <v>1.1498000000000004</v>
      </c>
      <c r="Y78" s="15">
        <f t="shared" si="17"/>
        <v>-0.1237</v>
      </c>
      <c r="Z78" s="14">
        <f t="shared" si="11"/>
        <v>196.33333333333334</v>
      </c>
      <c r="AA78" s="14">
        <f t="shared" si="12"/>
        <v>94.377433333333357</v>
      </c>
      <c r="AB78" s="14">
        <f t="shared" si="13"/>
        <v>225.74406666666675</v>
      </c>
      <c r="AC78" s="15">
        <f t="shared" si="14"/>
        <v>-24.286433333333335</v>
      </c>
    </row>
    <row r="79" spans="1:29" x14ac:dyDescent="0.35">
      <c r="A79" s="2" t="s">
        <v>143</v>
      </c>
      <c r="B79" s="2">
        <v>24</v>
      </c>
      <c r="C79" s="2" t="s">
        <v>68</v>
      </c>
      <c r="D79" s="2" t="s">
        <v>27</v>
      </c>
      <c r="E79" s="2" t="s">
        <v>28</v>
      </c>
      <c r="F79" s="2" t="s">
        <v>32</v>
      </c>
      <c r="G79" s="2">
        <v>2021</v>
      </c>
      <c r="H79" s="4">
        <v>44298</v>
      </c>
      <c r="I79" s="4">
        <v>44758</v>
      </c>
      <c r="J79" s="6">
        <v>36</v>
      </c>
      <c r="K79" s="6">
        <v>91</v>
      </c>
      <c r="L79" s="6">
        <v>2</v>
      </c>
      <c r="M79" s="6">
        <v>1</v>
      </c>
      <c r="N79" s="7">
        <v>47.2</v>
      </c>
      <c r="O79" s="7">
        <v>105.1</v>
      </c>
      <c r="P79" s="8">
        <v>0.1429</v>
      </c>
      <c r="Q79" s="8">
        <v>8.5099999999999995E-2</v>
      </c>
      <c r="R79" s="9">
        <v>3.3986000000000001</v>
      </c>
      <c r="S79" s="9">
        <v>4.6993999999999998</v>
      </c>
      <c r="T79" s="9">
        <v>4.0362</v>
      </c>
      <c r="U79" s="9">
        <v>4.6379999999999999</v>
      </c>
      <c r="V79">
        <v>17464</v>
      </c>
      <c r="W79" s="14">
        <f t="shared" si="15"/>
        <v>1.3007999999999997</v>
      </c>
      <c r="X79" s="14">
        <f t="shared" si="16"/>
        <v>0.60179999999999989</v>
      </c>
      <c r="Y79" s="15">
        <f t="shared" si="17"/>
        <v>-5.7800000000000004E-2</v>
      </c>
      <c r="Z79" s="14">
        <f t="shared" si="11"/>
        <v>47.666666666666664</v>
      </c>
      <c r="AA79" s="14">
        <f t="shared" si="12"/>
        <v>62.004799999999982</v>
      </c>
      <c r="AB79" s="14">
        <f t="shared" si="13"/>
        <v>28.685799999999993</v>
      </c>
      <c r="AC79" s="15">
        <f t="shared" si="14"/>
        <v>-2.7551333333333332</v>
      </c>
    </row>
    <row r="80" spans="1:29" x14ac:dyDescent="0.35">
      <c r="A80" s="2" t="s">
        <v>144</v>
      </c>
      <c r="B80" s="2">
        <v>25</v>
      </c>
      <c r="C80" s="2" t="s">
        <v>51</v>
      </c>
      <c r="D80" s="2" t="s">
        <v>27</v>
      </c>
      <c r="E80" s="2" t="s">
        <v>28</v>
      </c>
      <c r="F80" s="2" t="s">
        <v>29</v>
      </c>
      <c r="G80" s="2">
        <v>2021</v>
      </c>
      <c r="H80" s="4">
        <v>44285</v>
      </c>
      <c r="I80" s="4">
        <v>44772</v>
      </c>
      <c r="J80" s="6">
        <v>27</v>
      </c>
      <c r="K80" s="6">
        <v>2</v>
      </c>
      <c r="L80" s="6">
        <v>2</v>
      </c>
      <c r="M80" s="6">
        <v>0</v>
      </c>
      <c r="N80" s="7">
        <v>34.1</v>
      </c>
      <c r="O80" s="7">
        <v>2</v>
      </c>
      <c r="P80" s="8">
        <v>0.1234</v>
      </c>
      <c r="Q80" s="8">
        <v>0.28570000000000001</v>
      </c>
      <c r="R80" s="9">
        <v>3.6699000000000002</v>
      </c>
      <c r="S80" s="9">
        <v>0</v>
      </c>
      <c r="T80" s="9">
        <v>3.9685000000000001</v>
      </c>
      <c r="U80" s="9">
        <v>1.1100000000000001</v>
      </c>
      <c r="V80">
        <v>20100</v>
      </c>
      <c r="W80" s="14">
        <f t="shared" si="15"/>
        <v>-3.6699000000000002</v>
      </c>
      <c r="X80" s="14">
        <f t="shared" si="16"/>
        <v>-2.8585000000000003</v>
      </c>
      <c r="Y80" s="15">
        <f t="shared" si="17"/>
        <v>0.1623</v>
      </c>
      <c r="Z80" s="14">
        <f t="shared" si="11"/>
        <v>2</v>
      </c>
      <c r="AA80" s="14">
        <f t="shared" si="12"/>
        <v>-7.3398000000000003</v>
      </c>
      <c r="AB80" s="14">
        <f t="shared" si="13"/>
        <v>-5.7170000000000005</v>
      </c>
      <c r="AC80" s="15">
        <f t="shared" si="14"/>
        <v>0.3246</v>
      </c>
    </row>
    <row r="81" spans="1:29" x14ac:dyDescent="0.35">
      <c r="A81" s="2" t="s">
        <v>145</v>
      </c>
      <c r="B81" s="2">
        <v>27</v>
      </c>
      <c r="C81" s="2" t="s">
        <v>68</v>
      </c>
      <c r="D81" s="2" t="s">
        <v>27</v>
      </c>
      <c r="E81" s="2" t="s">
        <v>28</v>
      </c>
      <c r="F81" s="2" t="s">
        <v>32</v>
      </c>
      <c r="G81" s="2">
        <v>2021</v>
      </c>
      <c r="H81" s="4">
        <v>44285</v>
      </c>
      <c r="I81" s="4">
        <v>44730</v>
      </c>
      <c r="J81" s="6">
        <v>131</v>
      </c>
      <c r="K81" s="6">
        <v>160</v>
      </c>
      <c r="L81" s="6">
        <v>3</v>
      </c>
      <c r="M81" s="6">
        <v>0</v>
      </c>
      <c r="N81" s="7">
        <v>128.1</v>
      </c>
      <c r="O81" s="7">
        <v>171.1</v>
      </c>
      <c r="P81" s="8">
        <v>0.2293</v>
      </c>
      <c r="Q81" s="8">
        <v>0.1794</v>
      </c>
      <c r="R81" s="9">
        <v>3.0857000000000001</v>
      </c>
      <c r="S81" s="9">
        <v>3.3618999999999999</v>
      </c>
      <c r="T81" s="9">
        <v>2.8199000000000001</v>
      </c>
      <c r="U81" s="9">
        <v>3.5933000000000002</v>
      </c>
      <c r="V81">
        <v>14524</v>
      </c>
      <c r="W81" s="14">
        <f t="shared" si="15"/>
        <v>0.27619999999999978</v>
      </c>
      <c r="X81" s="14">
        <f t="shared" si="16"/>
        <v>0.77340000000000009</v>
      </c>
      <c r="Y81" s="15">
        <f t="shared" si="17"/>
        <v>-4.99E-2</v>
      </c>
      <c r="Z81" s="14">
        <f t="shared" si="11"/>
        <v>128.33333333333334</v>
      </c>
      <c r="AA81" s="14">
        <f t="shared" si="12"/>
        <v>35.445666666666639</v>
      </c>
      <c r="AB81" s="14">
        <f t="shared" si="13"/>
        <v>99.253000000000014</v>
      </c>
      <c r="AC81" s="15">
        <f t="shared" si="14"/>
        <v>-6.4038333333333339</v>
      </c>
    </row>
    <row r="82" spans="1:29" x14ac:dyDescent="0.35">
      <c r="A82" s="2" t="s">
        <v>146</v>
      </c>
      <c r="B82" s="2">
        <v>27</v>
      </c>
      <c r="C82" s="2" t="s">
        <v>147</v>
      </c>
      <c r="D82" s="2" t="s">
        <v>27</v>
      </c>
      <c r="E82" s="2" t="s">
        <v>28</v>
      </c>
      <c r="F82" s="2" t="s">
        <v>42</v>
      </c>
      <c r="G82" s="2">
        <v>2021</v>
      </c>
      <c r="H82" s="4">
        <v>44282</v>
      </c>
      <c r="I82" s="4">
        <v>44725</v>
      </c>
      <c r="J82" s="6">
        <v>14</v>
      </c>
      <c r="K82" s="6">
        <v>16</v>
      </c>
      <c r="L82" s="6">
        <v>1</v>
      </c>
      <c r="M82" s="6">
        <v>0</v>
      </c>
      <c r="N82" s="7">
        <v>16</v>
      </c>
      <c r="O82" s="7">
        <v>19.2</v>
      </c>
      <c r="P82" s="8">
        <v>0</v>
      </c>
      <c r="Q82" s="8">
        <v>3.1600000000000003E-2</v>
      </c>
      <c r="R82" s="9">
        <v>7.3125</v>
      </c>
      <c r="S82" s="9">
        <v>7.3220000000000001</v>
      </c>
      <c r="T82" s="9">
        <v>7.0125000000000002</v>
      </c>
      <c r="U82" s="9">
        <v>7.9806999999999997</v>
      </c>
      <c r="V82">
        <v>20023</v>
      </c>
      <c r="W82" s="14">
        <f t="shared" si="15"/>
        <v>9.5000000000000639E-3</v>
      </c>
      <c r="X82" s="14">
        <f t="shared" si="16"/>
        <v>0.96819999999999951</v>
      </c>
      <c r="Y82" s="15">
        <f t="shared" si="17"/>
        <v>3.1600000000000003E-2</v>
      </c>
      <c r="Z82" s="14">
        <f t="shared" si="11"/>
        <v>16</v>
      </c>
      <c r="AA82" s="14">
        <f t="shared" si="12"/>
        <v>0.15200000000000102</v>
      </c>
      <c r="AB82" s="14">
        <f t="shared" si="13"/>
        <v>15.491199999999992</v>
      </c>
      <c r="AC82" s="15">
        <f t="shared" si="14"/>
        <v>0.50560000000000005</v>
      </c>
    </row>
    <row r="83" spans="1:29" x14ac:dyDescent="0.35">
      <c r="A83" s="2" t="s">
        <v>148</v>
      </c>
      <c r="B83" s="2">
        <v>32</v>
      </c>
      <c r="C83" s="2" t="s">
        <v>64</v>
      </c>
      <c r="D83" s="2" t="s">
        <v>27</v>
      </c>
      <c r="E83" s="2" t="s">
        <v>36</v>
      </c>
      <c r="F83" s="2" t="s">
        <v>29</v>
      </c>
      <c r="G83" s="2">
        <v>2021</v>
      </c>
      <c r="H83" s="4">
        <v>44279</v>
      </c>
      <c r="I83" s="4">
        <v>44697</v>
      </c>
      <c r="J83" s="6">
        <v>71</v>
      </c>
      <c r="K83" s="6">
        <v>7</v>
      </c>
      <c r="L83" s="6">
        <v>4</v>
      </c>
      <c r="M83" s="6">
        <v>0</v>
      </c>
      <c r="N83" s="7">
        <v>101</v>
      </c>
      <c r="O83" s="7">
        <v>7.2</v>
      </c>
      <c r="P83" s="8">
        <v>0.1103</v>
      </c>
      <c r="Q83" s="8">
        <v>9.0899999999999995E-2</v>
      </c>
      <c r="R83" s="9">
        <v>3.2970000000000002</v>
      </c>
      <c r="S83" s="9">
        <v>3.5217000000000001</v>
      </c>
      <c r="T83" s="9">
        <v>4.0651000000000002</v>
      </c>
      <c r="U83" s="9">
        <v>4.42</v>
      </c>
      <c r="V83">
        <v>12673</v>
      </c>
      <c r="W83" s="14">
        <f t="shared" si="15"/>
        <v>0.2246999999999999</v>
      </c>
      <c r="X83" s="14">
        <f t="shared" si="16"/>
        <v>0.35489999999999977</v>
      </c>
      <c r="Y83" s="15">
        <f t="shared" si="17"/>
        <v>-1.9400000000000001E-2</v>
      </c>
      <c r="Z83" s="14">
        <f t="shared" si="11"/>
        <v>7.666666666666667</v>
      </c>
      <c r="AA83" s="14">
        <f t="shared" si="12"/>
        <v>1.7226999999999992</v>
      </c>
      <c r="AB83" s="14">
        <f t="shared" si="13"/>
        <v>2.7208999999999985</v>
      </c>
      <c r="AC83" s="15">
        <f t="shared" si="14"/>
        <v>-0.14873333333333336</v>
      </c>
    </row>
    <row r="84" spans="1:29" x14ac:dyDescent="0.35">
      <c r="A84" s="2" t="s">
        <v>149</v>
      </c>
      <c r="B84" s="2">
        <v>34</v>
      </c>
      <c r="C84" s="2" t="s">
        <v>107</v>
      </c>
      <c r="D84" s="2" t="s">
        <v>27</v>
      </c>
      <c r="E84" s="2" t="s">
        <v>28</v>
      </c>
      <c r="F84" s="2" t="s">
        <v>42</v>
      </c>
      <c r="G84" s="2">
        <v>2021</v>
      </c>
      <c r="H84" s="4">
        <v>44279</v>
      </c>
      <c r="I84" s="4">
        <v>44783</v>
      </c>
      <c r="J84" s="6">
        <v>131</v>
      </c>
      <c r="K84" s="6">
        <v>131</v>
      </c>
      <c r="L84" s="6">
        <v>0</v>
      </c>
      <c r="M84" s="6">
        <v>0</v>
      </c>
      <c r="N84" s="7">
        <v>128</v>
      </c>
      <c r="O84" s="7">
        <v>129</v>
      </c>
      <c r="P84" s="8">
        <v>0.31850000000000001</v>
      </c>
      <c r="Q84" s="8">
        <v>0.19270000000000001</v>
      </c>
      <c r="R84" s="9">
        <v>2.0390999999999999</v>
      </c>
      <c r="S84" s="9">
        <v>2.3721000000000001</v>
      </c>
      <c r="T84" s="9">
        <v>2.0447000000000002</v>
      </c>
      <c r="U84" s="9">
        <v>3.754</v>
      </c>
      <c r="V84">
        <v>9073</v>
      </c>
      <c r="W84" s="14">
        <f t="shared" si="15"/>
        <v>0.33300000000000018</v>
      </c>
      <c r="X84" s="14">
        <f t="shared" si="16"/>
        <v>1.7092999999999998</v>
      </c>
      <c r="Y84" s="15">
        <f t="shared" si="17"/>
        <v>-0.1258</v>
      </c>
      <c r="Z84" s="14">
        <f t="shared" si="11"/>
        <v>128</v>
      </c>
      <c r="AA84" s="14">
        <f t="shared" si="12"/>
        <v>42.624000000000024</v>
      </c>
      <c r="AB84" s="14">
        <f t="shared" si="13"/>
        <v>218.79039999999998</v>
      </c>
      <c r="AC84" s="15">
        <f t="shared" si="14"/>
        <v>-16.102399999999999</v>
      </c>
    </row>
    <row r="85" spans="1:29" x14ac:dyDescent="0.35">
      <c r="A85" s="2" t="s">
        <v>150</v>
      </c>
      <c r="B85" s="2">
        <v>25</v>
      </c>
      <c r="C85" s="2" t="s">
        <v>26</v>
      </c>
      <c r="D85" s="2" t="s">
        <v>27</v>
      </c>
      <c r="E85" s="2" t="s">
        <v>28</v>
      </c>
      <c r="F85" s="2" t="s">
        <v>42</v>
      </c>
      <c r="G85" s="2">
        <v>2021</v>
      </c>
      <c r="H85" s="4">
        <v>44278</v>
      </c>
      <c r="I85" s="4"/>
      <c r="J85" s="6">
        <v>5</v>
      </c>
      <c r="K85" s="10" t="s">
        <v>52</v>
      </c>
      <c r="L85" s="6">
        <v>0</v>
      </c>
      <c r="M85" s="10" t="s">
        <v>52</v>
      </c>
      <c r="N85" s="7">
        <v>4</v>
      </c>
      <c r="O85" s="10" t="s">
        <v>52</v>
      </c>
      <c r="P85" s="8">
        <v>0.1875</v>
      </c>
      <c r="Q85" s="10" t="s">
        <v>52</v>
      </c>
      <c r="R85" s="9">
        <v>4.5</v>
      </c>
      <c r="S85" s="10" t="s">
        <v>52</v>
      </c>
      <c r="T85" s="9">
        <v>1.94</v>
      </c>
      <c r="U85" s="10" t="s">
        <v>52</v>
      </c>
      <c r="V85">
        <v>20344</v>
      </c>
      <c r="W85" s="14" t="str">
        <f t="shared" si="15"/>
        <v/>
      </c>
      <c r="X85" s="14" t="str">
        <f t="shared" si="16"/>
        <v/>
      </c>
      <c r="Y85" s="15" t="str">
        <f t="shared" si="17"/>
        <v/>
      </c>
      <c r="Z85" s="14" t="str">
        <f t="shared" si="11"/>
        <v/>
      </c>
      <c r="AA85" s="14" t="str">
        <f t="shared" si="12"/>
        <v/>
      </c>
      <c r="AB85" s="14" t="str">
        <f t="shared" si="13"/>
        <v/>
      </c>
      <c r="AC85" s="15" t="str">
        <f t="shared" si="14"/>
        <v/>
      </c>
    </row>
    <row r="86" spans="1:29" x14ac:dyDescent="0.35">
      <c r="A86" s="2" t="s">
        <v>151</v>
      </c>
      <c r="B86" s="2">
        <v>29</v>
      </c>
      <c r="C86" s="2" t="s">
        <v>48</v>
      </c>
      <c r="D86" s="2" t="s">
        <v>27</v>
      </c>
      <c r="E86" s="2" t="s">
        <v>28</v>
      </c>
      <c r="F86" s="2" t="s">
        <v>32</v>
      </c>
      <c r="G86" s="2">
        <v>2021</v>
      </c>
      <c r="H86" s="4">
        <v>44273</v>
      </c>
      <c r="I86" s="4">
        <v>45017</v>
      </c>
      <c r="J86" s="6">
        <v>83</v>
      </c>
      <c r="K86" s="6">
        <v>31</v>
      </c>
      <c r="L86" s="6">
        <v>0</v>
      </c>
      <c r="M86" s="6">
        <v>1</v>
      </c>
      <c r="N86" s="7">
        <v>83</v>
      </c>
      <c r="O86" s="7">
        <v>32.200000000000003</v>
      </c>
      <c r="P86" s="8">
        <v>9.0700000000000003E-2</v>
      </c>
      <c r="Q86" s="8">
        <v>0.18179999999999999</v>
      </c>
      <c r="R86" s="9">
        <v>4.5541999999999998</v>
      </c>
      <c r="S86" s="9">
        <v>3.8571</v>
      </c>
      <c r="T86" s="9">
        <v>4.3285</v>
      </c>
      <c r="U86" s="9">
        <v>3.07</v>
      </c>
      <c r="V86">
        <v>15690</v>
      </c>
      <c r="W86" s="14">
        <f t="shared" si="15"/>
        <v>-0.69709999999999983</v>
      </c>
      <c r="X86" s="14">
        <f t="shared" si="16"/>
        <v>-1.2585000000000002</v>
      </c>
      <c r="Y86" s="15">
        <f t="shared" si="17"/>
        <v>9.1099999999999987E-2</v>
      </c>
      <c r="Z86" s="14">
        <f t="shared" si="11"/>
        <v>32.666666666666664</v>
      </c>
      <c r="AA86" s="14">
        <f t="shared" si="12"/>
        <v>-22.771933333333326</v>
      </c>
      <c r="AB86" s="14">
        <f t="shared" si="13"/>
        <v>-41.111000000000004</v>
      </c>
      <c r="AC86" s="15">
        <f t="shared" si="14"/>
        <v>2.9759333333333329</v>
      </c>
    </row>
    <row r="87" spans="1:29" x14ac:dyDescent="0.35">
      <c r="A87" s="2" t="s">
        <v>152</v>
      </c>
      <c r="B87" s="2">
        <v>28</v>
      </c>
      <c r="C87" s="2" t="s">
        <v>38</v>
      </c>
      <c r="D87" s="2" t="s">
        <v>27</v>
      </c>
      <c r="E87" s="2" t="s">
        <v>28</v>
      </c>
      <c r="F87" s="2" t="s">
        <v>100</v>
      </c>
      <c r="G87" s="2">
        <v>2021</v>
      </c>
      <c r="H87" s="4">
        <v>44273</v>
      </c>
      <c r="I87" s="4">
        <v>44799</v>
      </c>
      <c r="J87" s="6">
        <v>27</v>
      </c>
      <c r="K87" s="6">
        <v>13</v>
      </c>
      <c r="L87" s="6">
        <v>0</v>
      </c>
      <c r="M87" s="6">
        <v>0</v>
      </c>
      <c r="N87" s="7">
        <v>26</v>
      </c>
      <c r="O87" s="7">
        <v>15.2</v>
      </c>
      <c r="P87" s="8">
        <v>0.23080000000000001</v>
      </c>
      <c r="Q87" s="8">
        <v>0</v>
      </c>
      <c r="R87" s="9">
        <v>7.6154000000000002</v>
      </c>
      <c r="S87" s="9">
        <v>6.3190999999999997</v>
      </c>
      <c r="T87" s="9">
        <v>3.41</v>
      </c>
      <c r="U87" s="9">
        <v>6.8540000000000001</v>
      </c>
      <c r="V87">
        <v>16306</v>
      </c>
      <c r="W87" s="14">
        <f t="shared" si="15"/>
        <v>-1.2963000000000005</v>
      </c>
      <c r="X87" s="14">
        <f t="shared" si="16"/>
        <v>3.444</v>
      </c>
      <c r="Y87" s="15">
        <f t="shared" si="17"/>
        <v>-0.23080000000000001</v>
      </c>
      <c r="Z87" s="14">
        <f t="shared" si="11"/>
        <v>15.666666666666666</v>
      </c>
      <c r="AA87" s="14">
        <f t="shared" si="12"/>
        <v>-20.308700000000005</v>
      </c>
      <c r="AB87" s="14">
        <f t="shared" si="13"/>
        <v>53.955999999999996</v>
      </c>
      <c r="AC87" s="15">
        <f t="shared" si="14"/>
        <v>-3.6158666666666668</v>
      </c>
    </row>
    <row r="88" spans="1:29" x14ac:dyDescent="0.35">
      <c r="A88" s="2" t="s">
        <v>153</v>
      </c>
      <c r="B88" s="2">
        <v>25</v>
      </c>
      <c r="C88" s="2" t="s">
        <v>51</v>
      </c>
      <c r="D88" s="2" t="s">
        <v>27</v>
      </c>
      <c r="E88" s="2" t="s">
        <v>36</v>
      </c>
      <c r="F88" s="2" t="s">
        <v>55</v>
      </c>
      <c r="G88" s="2">
        <v>2021</v>
      </c>
      <c r="H88" s="4">
        <v>44256</v>
      </c>
      <c r="I88" s="4">
        <v>44797</v>
      </c>
      <c r="J88" s="6">
        <v>38</v>
      </c>
      <c r="K88" s="6">
        <v>2</v>
      </c>
      <c r="L88" s="6">
        <v>0</v>
      </c>
      <c r="M88" s="6">
        <v>0</v>
      </c>
      <c r="N88" s="7">
        <v>39</v>
      </c>
      <c r="O88" s="7">
        <v>1.1000000000000001</v>
      </c>
      <c r="P88" s="8">
        <v>0.26619999999999999</v>
      </c>
      <c r="Q88" s="8">
        <v>-0.18179999999999999</v>
      </c>
      <c r="R88" s="9">
        <v>3.2307999999999999</v>
      </c>
      <c r="S88" s="9">
        <v>33.75</v>
      </c>
      <c r="T88" s="9">
        <v>2.7010000000000001</v>
      </c>
      <c r="U88" s="9">
        <v>10.647500000000001</v>
      </c>
      <c r="V88">
        <v>17169</v>
      </c>
      <c r="W88" s="14">
        <f t="shared" si="15"/>
        <v>30.519200000000001</v>
      </c>
      <c r="X88" s="14">
        <f t="shared" si="16"/>
        <v>7.9465000000000003</v>
      </c>
      <c r="Y88" s="15">
        <f t="shared" si="17"/>
        <v>-0.44799999999999995</v>
      </c>
      <c r="Z88" s="14">
        <f t="shared" si="11"/>
        <v>1.3333333333333333</v>
      </c>
      <c r="AA88" s="14">
        <f t="shared" si="12"/>
        <v>40.692266666666669</v>
      </c>
      <c r="AB88" s="14">
        <f t="shared" si="13"/>
        <v>10.595333333333333</v>
      </c>
      <c r="AC88" s="15">
        <f t="shared" si="14"/>
        <v>-0.59733333333333327</v>
      </c>
    </row>
    <row r="89" spans="1:29" x14ac:dyDescent="0.35">
      <c r="A89" s="2" t="s">
        <v>154</v>
      </c>
      <c r="B89" s="2">
        <v>26</v>
      </c>
      <c r="C89" s="2" t="s">
        <v>72</v>
      </c>
      <c r="D89" s="2" t="s">
        <v>27</v>
      </c>
      <c r="E89" s="2" t="s">
        <v>28</v>
      </c>
      <c r="F89" s="2" t="s">
        <v>42</v>
      </c>
      <c r="G89" s="2">
        <v>2021</v>
      </c>
      <c r="H89" s="4">
        <v>44253</v>
      </c>
      <c r="I89" s="4"/>
      <c r="J89" s="6">
        <v>5</v>
      </c>
      <c r="K89" s="10" t="s">
        <v>52</v>
      </c>
      <c r="L89" s="6">
        <v>0</v>
      </c>
      <c r="M89" s="10" t="s">
        <v>52</v>
      </c>
      <c r="N89" s="7">
        <v>7.1</v>
      </c>
      <c r="O89" s="10" t="s">
        <v>52</v>
      </c>
      <c r="P89" s="8">
        <v>3.3300000000000003E-2</v>
      </c>
      <c r="Q89" s="10" t="s">
        <v>52</v>
      </c>
      <c r="R89" s="9">
        <v>2.4544999999999999</v>
      </c>
      <c r="S89" s="10" t="s">
        <v>52</v>
      </c>
      <c r="T89" s="9">
        <v>5.51</v>
      </c>
      <c r="U89" s="10" t="s">
        <v>52</v>
      </c>
      <c r="V89">
        <v>19582</v>
      </c>
      <c r="W89" s="14" t="str">
        <f t="shared" si="15"/>
        <v/>
      </c>
      <c r="X89" s="14" t="str">
        <f t="shared" si="16"/>
        <v/>
      </c>
      <c r="Y89" s="15" t="str">
        <f t="shared" si="17"/>
        <v/>
      </c>
      <c r="Z89" s="14" t="str">
        <f t="shared" si="11"/>
        <v/>
      </c>
      <c r="AA89" s="14" t="str">
        <f t="shared" si="12"/>
        <v/>
      </c>
      <c r="AB89" s="14" t="str">
        <f t="shared" si="13"/>
        <v/>
      </c>
      <c r="AC89" s="15" t="str">
        <f t="shared" si="14"/>
        <v/>
      </c>
    </row>
    <row r="90" spans="1:29" x14ac:dyDescent="0.35">
      <c r="A90" s="2" t="s">
        <v>155</v>
      </c>
      <c r="B90" s="2">
        <v>25</v>
      </c>
      <c r="C90" s="2" t="s">
        <v>114</v>
      </c>
      <c r="D90" s="2" t="s">
        <v>27</v>
      </c>
      <c r="E90" s="2" t="s">
        <v>28</v>
      </c>
      <c r="F90" s="2" t="s">
        <v>156</v>
      </c>
      <c r="G90" s="2">
        <v>2021</v>
      </c>
      <c r="H90" s="4">
        <v>44197</v>
      </c>
      <c r="I90" s="4"/>
      <c r="J90" s="6">
        <v>45</v>
      </c>
      <c r="K90" s="10" t="s">
        <v>52</v>
      </c>
      <c r="L90" s="6">
        <v>27</v>
      </c>
      <c r="M90" s="10" t="s">
        <v>52</v>
      </c>
      <c r="N90" s="7">
        <v>181</v>
      </c>
      <c r="O90" s="10" t="s">
        <v>52</v>
      </c>
      <c r="P90" s="8">
        <v>6.3500000000000001E-2</v>
      </c>
      <c r="Q90" s="10" t="s">
        <v>52</v>
      </c>
      <c r="R90" s="9">
        <v>5.9668999999999999</v>
      </c>
      <c r="S90" s="10" t="s">
        <v>52</v>
      </c>
      <c r="T90" s="9">
        <v>5.0803000000000003</v>
      </c>
      <c r="U90" s="10" t="s">
        <v>52</v>
      </c>
      <c r="V90">
        <v>17030</v>
      </c>
      <c r="W90" s="14" t="str">
        <f t="shared" si="15"/>
        <v/>
      </c>
      <c r="X90" s="14" t="str">
        <f t="shared" si="16"/>
        <v/>
      </c>
      <c r="Y90" s="15" t="str">
        <f t="shared" si="17"/>
        <v/>
      </c>
      <c r="Z90" s="14" t="str">
        <f t="shared" si="11"/>
        <v/>
      </c>
      <c r="AA90" s="14" t="str">
        <f t="shared" si="12"/>
        <v/>
      </c>
      <c r="AB90" s="14" t="str">
        <f t="shared" si="13"/>
        <v/>
      </c>
      <c r="AC90" s="15" t="str">
        <f t="shared" si="14"/>
        <v/>
      </c>
    </row>
    <row r="91" spans="1:29" x14ac:dyDescent="0.35">
      <c r="A91" s="2" t="s">
        <v>157</v>
      </c>
      <c r="B91" s="2">
        <v>29</v>
      </c>
      <c r="C91" s="2" t="s">
        <v>51</v>
      </c>
      <c r="D91" s="2" t="s">
        <v>27</v>
      </c>
      <c r="E91" s="2" t="s">
        <v>28</v>
      </c>
      <c r="F91" s="2" t="s">
        <v>42</v>
      </c>
      <c r="G91" s="2">
        <v>2020</v>
      </c>
      <c r="H91" s="4">
        <v>44152</v>
      </c>
      <c r="I91" s="4">
        <v>44685</v>
      </c>
      <c r="J91" s="6">
        <v>80</v>
      </c>
      <c r="K91" s="6">
        <v>47</v>
      </c>
      <c r="L91" s="6">
        <v>74</v>
      </c>
      <c r="M91" s="6">
        <v>46</v>
      </c>
      <c r="N91" s="7">
        <v>447.2</v>
      </c>
      <c r="O91" s="7">
        <v>245.2</v>
      </c>
      <c r="P91" s="8">
        <v>0.19270000000000001</v>
      </c>
      <c r="Q91" s="8">
        <v>0.12189999999999999</v>
      </c>
      <c r="R91" s="9">
        <v>2.9552999999999998</v>
      </c>
      <c r="S91" s="9">
        <v>4.0298999999999996</v>
      </c>
      <c r="T91" s="9">
        <v>3.3197999999999999</v>
      </c>
      <c r="U91" s="9">
        <v>4.6010999999999997</v>
      </c>
      <c r="V91">
        <v>12808</v>
      </c>
      <c r="W91" s="14">
        <f t="shared" si="15"/>
        <v>1.0745999999999998</v>
      </c>
      <c r="X91" s="14">
        <f t="shared" si="16"/>
        <v>1.2812999999999999</v>
      </c>
      <c r="Y91" s="15">
        <f t="shared" si="17"/>
        <v>-7.0800000000000016E-2</v>
      </c>
      <c r="Z91" s="14">
        <f t="shared" si="11"/>
        <v>245.66666666666666</v>
      </c>
      <c r="AA91" s="14">
        <f t="shared" si="12"/>
        <v>263.99339999999995</v>
      </c>
      <c r="AB91" s="14">
        <f t="shared" si="13"/>
        <v>314.77269999999999</v>
      </c>
      <c r="AC91" s="15">
        <f t="shared" si="14"/>
        <v>-17.393200000000004</v>
      </c>
    </row>
    <row r="92" spans="1:29" x14ac:dyDescent="0.35">
      <c r="A92" s="2" t="s">
        <v>158</v>
      </c>
      <c r="B92" s="2">
        <v>23</v>
      </c>
      <c r="C92" s="2" t="s">
        <v>159</v>
      </c>
      <c r="D92" s="2" t="s">
        <v>27</v>
      </c>
      <c r="E92" s="2" t="s">
        <v>36</v>
      </c>
      <c r="F92" s="2" t="s">
        <v>55</v>
      </c>
      <c r="G92" s="2">
        <v>2020</v>
      </c>
      <c r="H92" s="4">
        <v>44120</v>
      </c>
      <c r="I92" s="4"/>
      <c r="J92" s="2"/>
      <c r="K92" s="10" t="s">
        <v>52</v>
      </c>
      <c r="L92" s="2"/>
      <c r="M92" s="10" t="s">
        <v>52</v>
      </c>
      <c r="N92" s="2"/>
      <c r="O92" s="10" t="s">
        <v>52</v>
      </c>
      <c r="P92" s="2"/>
      <c r="Q92" s="10" t="s">
        <v>52</v>
      </c>
      <c r="R92" s="2"/>
      <c r="S92" s="10" t="s">
        <v>52</v>
      </c>
      <c r="T92" s="2"/>
      <c r="U92" s="10" t="s">
        <v>52</v>
      </c>
      <c r="V92">
        <v>17581</v>
      </c>
      <c r="W92" s="14" t="str">
        <f t="shared" si="15"/>
        <v/>
      </c>
      <c r="X92" s="14" t="str">
        <f t="shared" si="16"/>
        <v/>
      </c>
      <c r="Y92" s="15" t="str">
        <f t="shared" si="17"/>
        <v/>
      </c>
      <c r="Z92" s="14" t="str">
        <f t="shared" si="11"/>
        <v/>
      </c>
      <c r="AA92" s="14" t="str">
        <f t="shared" si="12"/>
        <v/>
      </c>
      <c r="AB92" s="14" t="str">
        <f t="shared" si="13"/>
        <v/>
      </c>
      <c r="AC92" s="15" t="str">
        <f t="shared" si="14"/>
        <v/>
      </c>
    </row>
    <row r="93" spans="1:29" x14ac:dyDescent="0.35">
      <c r="A93" s="2" t="s">
        <v>160</v>
      </c>
      <c r="B93" s="2">
        <v>27</v>
      </c>
      <c r="C93" s="2" t="s">
        <v>26</v>
      </c>
      <c r="D93" s="2" t="s">
        <v>27</v>
      </c>
      <c r="E93" s="2" t="s">
        <v>28</v>
      </c>
      <c r="F93" s="2" t="s">
        <v>42</v>
      </c>
      <c r="G93" s="2">
        <v>2020</v>
      </c>
      <c r="H93" s="4">
        <v>44118</v>
      </c>
      <c r="I93" s="4">
        <v>45062</v>
      </c>
      <c r="J93" s="6">
        <v>13</v>
      </c>
      <c r="K93" s="6">
        <v>3</v>
      </c>
      <c r="L93" s="6">
        <v>0</v>
      </c>
      <c r="M93" s="6">
        <v>0</v>
      </c>
      <c r="N93" s="7">
        <v>10</v>
      </c>
      <c r="O93" s="7">
        <v>3</v>
      </c>
      <c r="P93" s="8">
        <v>0.28000000000000003</v>
      </c>
      <c r="Q93" s="8">
        <v>6.6699999999999995E-2</v>
      </c>
      <c r="R93" s="9">
        <v>10.8</v>
      </c>
      <c r="S93" s="9">
        <v>9</v>
      </c>
      <c r="T93" s="9">
        <v>3.5072999999999999</v>
      </c>
      <c r="U93" s="9">
        <v>3.59</v>
      </c>
      <c r="V93">
        <v>16074</v>
      </c>
      <c r="W93" s="14">
        <f t="shared" si="15"/>
        <v>-1.8000000000000007</v>
      </c>
      <c r="X93" s="14">
        <f t="shared" si="16"/>
        <v>8.2699999999999996E-2</v>
      </c>
      <c r="Y93" s="15">
        <f t="shared" si="17"/>
        <v>-0.21330000000000005</v>
      </c>
      <c r="Z93" s="14">
        <f t="shared" si="11"/>
        <v>3</v>
      </c>
      <c r="AA93" s="14">
        <f t="shared" si="12"/>
        <v>-5.4000000000000021</v>
      </c>
      <c r="AB93" s="14">
        <f t="shared" si="13"/>
        <v>0.24809999999999999</v>
      </c>
      <c r="AC93" s="15">
        <f t="shared" si="14"/>
        <v>-0.63990000000000014</v>
      </c>
    </row>
    <row r="94" spans="1:29" x14ac:dyDescent="0.35">
      <c r="A94" s="2" t="s">
        <v>161</v>
      </c>
      <c r="B94" s="2">
        <v>25</v>
      </c>
      <c r="C94" s="2" t="s">
        <v>82</v>
      </c>
      <c r="D94" s="2" t="s">
        <v>27</v>
      </c>
      <c r="E94" s="2" t="s">
        <v>28</v>
      </c>
      <c r="F94" s="2" t="s">
        <v>42</v>
      </c>
      <c r="G94" s="2">
        <v>2020</v>
      </c>
      <c r="H94" s="4">
        <v>44105</v>
      </c>
      <c r="I94" s="4"/>
      <c r="J94" s="6">
        <v>16</v>
      </c>
      <c r="K94" s="10" t="s">
        <v>52</v>
      </c>
      <c r="L94" s="6">
        <v>1</v>
      </c>
      <c r="M94" s="10" t="s">
        <v>52</v>
      </c>
      <c r="N94" s="7">
        <v>33</v>
      </c>
      <c r="O94" s="10" t="s">
        <v>52</v>
      </c>
      <c r="P94" s="8">
        <v>7.5899999999999995E-2</v>
      </c>
      <c r="Q94" s="10" t="s">
        <v>52</v>
      </c>
      <c r="R94" s="9">
        <v>8.1818000000000008</v>
      </c>
      <c r="S94" s="10" t="s">
        <v>52</v>
      </c>
      <c r="T94" s="9">
        <v>7.0503999999999998</v>
      </c>
      <c r="U94" s="10" t="s">
        <v>52</v>
      </c>
      <c r="V94">
        <v>18135</v>
      </c>
      <c r="W94" s="14" t="str">
        <f t="shared" si="15"/>
        <v/>
      </c>
      <c r="X94" s="14" t="str">
        <f t="shared" si="16"/>
        <v/>
      </c>
      <c r="Y94" s="15" t="str">
        <f t="shared" si="17"/>
        <v/>
      </c>
      <c r="Z94" s="14" t="str">
        <f t="shared" si="11"/>
        <v/>
      </c>
      <c r="AA94" s="14" t="str">
        <f t="shared" si="12"/>
        <v/>
      </c>
      <c r="AB94" s="14" t="str">
        <f t="shared" si="13"/>
        <v/>
      </c>
      <c r="AC94" s="15" t="str">
        <f t="shared" si="14"/>
        <v/>
      </c>
    </row>
    <row r="95" spans="1:29" x14ac:dyDescent="0.35">
      <c r="A95" s="2" t="s">
        <v>162</v>
      </c>
      <c r="B95" s="2">
        <v>27</v>
      </c>
      <c r="C95" s="2" t="s">
        <v>51</v>
      </c>
      <c r="D95" s="2" t="s">
        <v>27</v>
      </c>
      <c r="E95" s="2" t="s">
        <v>28</v>
      </c>
      <c r="F95" s="2" t="s">
        <v>32</v>
      </c>
      <c r="G95" s="2">
        <v>2020</v>
      </c>
      <c r="H95" s="4">
        <v>44105</v>
      </c>
      <c r="I95" s="4">
        <v>44688</v>
      </c>
      <c r="J95" s="6">
        <v>88</v>
      </c>
      <c r="K95" s="6">
        <v>14</v>
      </c>
      <c r="L95" s="6">
        <v>40</v>
      </c>
      <c r="M95" s="6">
        <v>0</v>
      </c>
      <c r="N95" s="7">
        <v>280.10000000000002</v>
      </c>
      <c r="O95" s="7">
        <v>23.2</v>
      </c>
      <c r="P95" s="8">
        <v>8.7099999999999997E-2</v>
      </c>
      <c r="Q95" s="8">
        <v>9.3799999999999994E-2</v>
      </c>
      <c r="R95" s="9">
        <v>4.8799000000000001</v>
      </c>
      <c r="S95" s="9">
        <v>3.8028</v>
      </c>
      <c r="T95" s="9">
        <v>4.1722000000000001</v>
      </c>
      <c r="U95" s="9">
        <v>4.8</v>
      </c>
      <c r="V95">
        <v>14682</v>
      </c>
      <c r="W95" s="14">
        <f t="shared" si="15"/>
        <v>-1.0771000000000002</v>
      </c>
      <c r="X95" s="14">
        <f t="shared" si="16"/>
        <v>0.62779999999999969</v>
      </c>
      <c r="Y95" s="15">
        <f t="shared" si="17"/>
        <v>6.6999999999999976E-3</v>
      </c>
      <c r="Z95" s="14">
        <f t="shared" si="11"/>
        <v>23.666666666666668</v>
      </c>
      <c r="AA95" s="14">
        <f t="shared" si="12"/>
        <v>-25.491366666666671</v>
      </c>
      <c r="AB95" s="14">
        <f t="shared" si="13"/>
        <v>14.857933333333326</v>
      </c>
      <c r="AC95" s="15">
        <f t="shared" si="14"/>
        <v>0.15856666666666661</v>
      </c>
    </row>
    <row r="96" spans="1:29" x14ac:dyDescent="0.35">
      <c r="A96" s="2" t="s">
        <v>163</v>
      </c>
      <c r="B96" s="2">
        <v>37</v>
      </c>
      <c r="C96" s="2" t="s">
        <v>72</v>
      </c>
      <c r="D96" s="2" t="s">
        <v>27</v>
      </c>
      <c r="E96" s="2" t="s">
        <v>28</v>
      </c>
      <c r="F96" s="2" t="s">
        <v>42</v>
      </c>
      <c r="G96" s="2">
        <v>2020</v>
      </c>
      <c r="H96" s="4">
        <v>44104</v>
      </c>
      <c r="I96" s="4">
        <v>44660</v>
      </c>
      <c r="J96" s="6">
        <v>101</v>
      </c>
      <c r="K96" s="6">
        <v>55</v>
      </c>
      <c r="L96" s="6">
        <v>101</v>
      </c>
      <c r="M96" s="6">
        <v>55</v>
      </c>
      <c r="N96" s="7">
        <v>643</v>
      </c>
      <c r="O96" s="7">
        <v>337.1</v>
      </c>
      <c r="P96" s="8">
        <v>0.26019999999999999</v>
      </c>
      <c r="Q96" s="8">
        <v>0.191</v>
      </c>
      <c r="R96" s="9">
        <v>2.8134000000000001</v>
      </c>
      <c r="S96" s="9">
        <v>2.4544999999999999</v>
      </c>
      <c r="T96" s="9">
        <v>3.2894999999999999</v>
      </c>
      <c r="U96" s="9">
        <v>3.1444999999999999</v>
      </c>
      <c r="V96">
        <v>8700</v>
      </c>
      <c r="W96" s="14">
        <f t="shared" si="15"/>
        <v>-0.35890000000000022</v>
      </c>
      <c r="X96" s="14">
        <f t="shared" si="16"/>
        <v>-0.14500000000000002</v>
      </c>
      <c r="Y96" s="15">
        <f t="shared" si="17"/>
        <v>-6.9199999999999984E-2</v>
      </c>
      <c r="Z96" s="14">
        <f t="shared" si="11"/>
        <v>337.33333333333331</v>
      </c>
      <c r="AA96" s="14">
        <f t="shared" si="12"/>
        <v>-121.0689333333334</v>
      </c>
      <c r="AB96" s="14">
        <f t="shared" si="13"/>
        <v>-48.913333333333334</v>
      </c>
      <c r="AC96" s="15">
        <f t="shared" si="14"/>
        <v>-23.343466666666661</v>
      </c>
    </row>
    <row r="97" spans="1:29" x14ac:dyDescent="0.35">
      <c r="A97" s="2" t="s">
        <v>164</v>
      </c>
      <c r="B97" s="2">
        <v>29</v>
      </c>
      <c r="C97" s="2" t="s">
        <v>107</v>
      </c>
      <c r="D97" s="2" t="s">
        <v>27</v>
      </c>
      <c r="E97" s="2" t="s">
        <v>28</v>
      </c>
      <c r="F97" s="2" t="s">
        <v>42</v>
      </c>
      <c r="G97" s="2">
        <v>2020</v>
      </c>
      <c r="H97" s="4">
        <v>44104</v>
      </c>
      <c r="I97" s="4">
        <v>44733</v>
      </c>
      <c r="J97" s="6">
        <v>171</v>
      </c>
      <c r="K97" s="6">
        <v>5</v>
      </c>
      <c r="L97" s="6">
        <v>0</v>
      </c>
      <c r="M97" s="6">
        <v>0</v>
      </c>
      <c r="N97" s="7">
        <v>166</v>
      </c>
      <c r="O97" s="7">
        <v>4.0999999999999996</v>
      </c>
      <c r="P97" s="8">
        <v>0.26090000000000002</v>
      </c>
      <c r="Q97" s="8">
        <v>0.1111</v>
      </c>
      <c r="R97" s="9">
        <v>2.8734999999999999</v>
      </c>
      <c r="S97" s="9">
        <v>0</v>
      </c>
      <c r="T97" s="9">
        <v>2.5609000000000002</v>
      </c>
      <c r="U97" s="9">
        <v>3.11</v>
      </c>
      <c r="V97">
        <v>12910</v>
      </c>
      <c r="W97" s="14">
        <f t="shared" si="15"/>
        <v>-2.8734999999999999</v>
      </c>
      <c r="X97" s="14">
        <f t="shared" si="16"/>
        <v>0.5490999999999997</v>
      </c>
      <c r="Y97" s="15">
        <f t="shared" si="17"/>
        <v>-0.14980000000000002</v>
      </c>
      <c r="Z97" s="14">
        <f t="shared" si="11"/>
        <v>4.333333333333333</v>
      </c>
      <c r="AA97" s="14">
        <f t="shared" si="12"/>
        <v>-12.451833333333333</v>
      </c>
      <c r="AB97" s="14">
        <f t="shared" si="13"/>
        <v>2.3794333333333317</v>
      </c>
      <c r="AC97" s="15">
        <f t="shared" si="14"/>
        <v>-0.64913333333333334</v>
      </c>
    </row>
    <row r="98" spans="1:29" x14ac:dyDescent="0.35">
      <c r="A98" s="2" t="s">
        <v>165</v>
      </c>
      <c r="B98" s="2">
        <v>25</v>
      </c>
      <c r="C98" s="2" t="s">
        <v>159</v>
      </c>
      <c r="D98" s="2" t="s">
        <v>27</v>
      </c>
      <c r="E98" s="2" t="s">
        <v>28</v>
      </c>
      <c r="F98" s="2" t="s">
        <v>42</v>
      </c>
      <c r="G98" s="2">
        <v>2020</v>
      </c>
      <c r="H98" s="4">
        <v>44102</v>
      </c>
      <c r="I98" s="4">
        <v>44463</v>
      </c>
      <c r="J98" s="6">
        <v>59</v>
      </c>
      <c r="K98" s="6">
        <v>47</v>
      </c>
      <c r="L98" s="6">
        <v>32</v>
      </c>
      <c r="M98" s="6">
        <v>39</v>
      </c>
      <c r="N98" s="7">
        <v>202</v>
      </c>
      <c r="O98" s="7">
        <v>229.2</v>
      </c>
      <c r="P98" s="8">
        <v>5.8299999999999998E-2</v>
      </c>
      <c r="Q98" s="8">
        <v>3.3500000000000002E-2</v>
      </c>
      <c r="R98" s="9">
        <v>3.2524999999999999</v>
      </c>
      <c r="S98" s="9">
        <v>4.5457000000000001</v>
      </c>
      <c r="T98" s="9">
        <v>4.7851999999999997</v>
      </c>
      <c r="U98" s="9">
        <v>4.5247999999999999</v>
      </c>
      <c r="V98">
        <v>19206</v>
      </c>
      <c r="W98" s="14">
        <f t="shared" si="15"/>
        <v>1.2932000000000001</v>
      </c>
      <c r="X98" s="14">
        <f t="shared" si="16"/>
        <v>-0.26039999999999974</v>
      </c>
      <c r="Y98" s="15">
        <f t="shared" si="17"/>
        <v>-2.4799999999999996E-2</v>
      </c>
      <c r="Z98" s="14">
        <f t="shared" ref="Z98:Z129" si="18">IF(AND(ISNUMBER(N98),ISNUMBER(O98),ISNUMBER(P98),ISNUMBER(Q98),ISNUMBER(R98),ISNUMBER(S98),ISNUMBER(T98),ISNUMBER(U98),N98&gt;0,O98&gt;0),MIN((INT(N98)*3+ROUND(MOD(N98,1)*10,0))/3,(INT(O98)*3+ROUND(MOD(O98,1)*10,0))/3),"")</f>
        <v>202</v>
      </c>
      <c r="AA98" s="14">
        <f t="shared" ref="AA98:AA129" si="19">IF(ISNUMBER(Z98),W98*Z98,"")</f>
        <v>261.22640000000001</v>
      </c>
      <c r="AB98" s="14">
        <f t="shared" ref="AB98:AB129" si="20">IF(ISNUMBER(Z98),X98*Z98,"")</f>
        <v>-52.60079999999995</v>
      </c>
      <c r="AC98" s="15">
        <f t="shared" ref="AC98:AC129" si="21">IF(ISNUMBER(Z98),Y98*Z98,"")</f>
        <v>-5.0095999999999989</v>
      </c>
    </row>
    <row r="99" spans="1:29" x14ac:dyDescent="0.35">
      <c r="A99" s="2" t="s">
        <v>166</v>
      </c>
      <c r="B99" s="2">
        <v>23</v>
      </c>
      <c r="C99" s="2" t="s">
        <v>44</v>
      </c>
      <c r="D99" s="2" t="s">
        <v>27</v>
      </c>
      <c r="E99" s="2" t="s">
        <v>36</v>
      </c>
      <c r="F99" s="2" t="s">
        <v>42</v>
      </c>
      <c r="G99" s="2">
        <v>2020</v>
      </c>
      <c r="H99" s="4">
        <v>44096</v>
      </c>
      <c r="I99" s="4">
        <v>44697</v>
      </c>
      <c r="J99" s="6">
        <v>75</v>
      </c>
      <c r="K99" s="6">
        <v>105</v>
      </c>
      <c r="L99" s="6">
        <v>5</v>
      </c>
      <c r="M99" s="6">
        <v>8</v>
      </c>
      <c r="N99" s="7">
        <v>93.2</v>
      </c>
      <c r="O99" s="7">
        <v>95</v>
      </c>
      <c r="P99" s="8">
        <v>0.18229999999999999</v>
      </c>
      <c r="Q99" s="8">
        <v>0.16259999999999999</v>
      </c>
      <c r="R99" s="9">
        <v>4.1317000000000004</v>
      </c>
      <c r="S99" s="9">
        <v>2.8420999999999998</v>
      </c>
      <c r="T99" s="9">
        <v>4.3909000000000002</v>
      </c>
      <c r="U99" s="9">
        <v>3.2159</v>
      </c>
      <c r="V99">
        <v>19349</v>
      </c>
      <c r="W99" s="14">
        <f t="shared" si="15"/>
        <v>-1.2896000000000005</v>
      </c>
      <c r="X99" s="14">
        <f t="shared" si="16"/>
        <v>-1.1750000000000003</v>
      </c>
      <c r="Y99" s="15">
        <f t="shared" si="17"/>
        <v>-1.9699999999999995E-2</v>
      </c>
      <c r="Z99" s="14">
        <f t="shared" si="18"/>
        <v>93.666666666666671</v>
      </c>
      <c r="AA99" s="14">
        <f t="shared" si="19"/>
        <v>-120.7925333333334</v>
      </c>
      <c r="AB99" s="14">
        <f t="shared" si="20"/>
        <v>-110.05833333333337</v>
      </c>
      <c r="AC99" s="15">
        <f t="shared" si="21"/>
        <v>-1.8452333333333331</v>
      </c>
    </row>
    <row r="100" spans="1:29" x14ac:dyDescent="0.35">
      <c r="A100" s="2" t="s">
        <v>167</v>
      </c>
      <c r="B100" s="2">
        <v>31</v>
      </c>
      <c r="C100" s="2" t="s">
        <v>61</v>
      </c>
      <c r="D100" s="2" t="s">
        <v>27</v>
      </c>
      <c r="E100" s="2" t="s">
        <v>28</v>
      </c>
      <c r="F100" s="2" t="s">
        <v>42</v>
      </c>
      <c r="G100" s="2">
        <v>2020</v>
      </c>
      <c r="H100" s="4">
        <v>44092</v>
      </c>
      <c r="I100" s="4">
        <v>44658</v>
      </c>
      <c r="J100" s="6">
        <v>41</v>
      </c>
      <c r="K100" s="6">
        <v>14</v>
      </c>
      <c r="L100" s="6">
        <v>0</v>
      </c>
      <c r="M100" s="6">
        <v>0</v>
      </c>
      <c r="N100" s="7">
        <v>42.2</v>
      </c>
      <c r="O100" s="7">
        <v>19</v>
      </c>
      <c r="P100" s="8">
        <v>0.1192</v>
      </c>
      <c r="Q100" s="8">
        <v>3.4500000000000003E-2</v>
      </c>
      <c r="R100" s="9">
        <v>6.5391000000000004</v>
      </c>
      <c r="S100" s="9">
        <v>3.3157999999999999</v>
      </c>
      <c r="T100" s="9">
        <v>5.7644000000000002</v>
      </c>
      <c r="U100" s="9">
        <v>4.22</v>
      </c>
      <c r="V100">
        <v>10688</v>
      </c>
      <c r="W100" s="14">
        <f t="shared" si="15"/>
        <v>-3.2233000000000005</v>
      </c>
      <c r="X100" s="14">
        <f t="shared" si="16"/>
        <v>-1.5444000000000004</v>
      </c>
      <c r="Y100" s="15">
        <f t="shared" si="17"/>
        <v>-8.4699999999999998E-2</v>
      </c>
      <c r="Z100" s="14">
        <f t="shared" si="18"/>
        <v>19</v>
      </c>
      <c r="AA100" s="14">
        <f t="shared" si="19"/>
        <v>-61.242700000000006</v>
      </c>
      <c r="AB100" s="14">
        <f t="shared" si="20"/>
        <v>-29.343600000000009</v>
      </c>
      <c r="AC100" s="15">
        <f t="shared" si="21"/>
        <v>-1.6093</v>
      </c>
    </row>
    <row r="101" spans="1:29" x14ac:dyDescent="0.35">
      <c r="A101" s="2" t="s">
        <v>168</v>
      </c>
      <c r="B101" s="2">
        <v>26</v>
      </c>
      <c r="C101" s="2" t="s">
        <v>46</v>
      </c>
      <c r="D101" s="2" t="s">
        <v>27</v>
      </c>
      <c r="E101" s="2" t="s">
        <v>36</v>
      </c>
      <c r="F101" s="2" t="s">
        <v>42</v>
      </c>
      <c r="G101" s="2">
        <v>2020</v>
      </c>
      <c r="H101" s="4">
        <v>44076</v>
      </c>
      <c r="I101" s="4">
        <v>44661</v>
      </c>
      <c r="J101" s="6">
        <v>47</v>
      </c>
      <c r="K101" s="6">
        <v>72</v>
      </c>
      <c r="L101" s="6">
        <v>4</v>
      </c>
      <c r="M101" s="6">
        <v>15</v>
      </c>
      <c r="N101" s="7">
        <v>155</v>
      </c>
      <c r="O101" s="7">
        <v>103.1</v>
      </c>
      <c r="P101" s="8">
        <v>9.7500000000000003E-2</v>
      </c>
      <c r="Q101" s="8">
        <v>0.16739999999999999</v>
      </c>
      <c r="R101" s="9">
        <v>4.7031999999999998</v>
      </c>
      <c r="S101" s="9">
        <v>4.0934999999999997</v>
      </c>
      <c r="T101" s="9">
        <v>4.4851999999999999</v>
      </c>
      <c r="U101" s="9">
        <v>3.6252</v>
      </c>
      <c r="V101">
        <v>17192</v>
      </c>
      <c r="W101" s="14">
        <f t="shared" si="15"/>
        <v>-0.60970000000000013</v>
      </c>
      <c r="X101" s="14">
        <f t="shared" si="16"/>
        <v>-0.85999999999999988</v>
      </c>
      <c r="Y101" s="15">
        <f t="shared" si="17"/>
        <v>6.989999999999999E-2</v>
      </c>
      <c r="Z101" s="14">
        <f t="shared" si="18"/>
        <v>103.33333333333333</v>
      </c>
      <c r="AA101" s="14">
        <f t="shared" si="19"/>
        <v>-63.002333333333347</v>
      </c>
      <c r="AB101" s="14">
        <f t="shared" si="20"/>
        <v>-88.866666666666646</v>
      </c>
      <c r="AC101" s="15">
        <f t="shared" si="21"/>
        <v>7.222999999999999</v>
      </c>
    </row>
    <row r="102" spans="1:29" x14ac:dyDescent="0.35">
      <c r="A102" s="2" t="s">
        <v>169</v>
      </c>
      <c r="B102" s="2">
        <v>29</v>
      </c>
      <c r="C102" s="2" t="s">
        <v>61</v>
      </c>
      <c r="D102" s="2" t="s">
        <v>27</v>
      </c>
      <c r="E102" s="2" t="s">
        <v>28</v>
      </c>
      <c r="F102" s="2" t="s">
        <v>42</v>
      </c>
      <c r="G102" s="2">
        <v>2020</v>
      </c>
      <c r="H102" s="4">
        <v>44075</v>
      </c>
      <c r="I102" s="4">
        <v>45181</v>
      </c>
      <c r="J102" s="6">
        <v>124</v>
      </c>
      <c r="K102" s="6">
        <v>3</v>
      </c>
      <c r="L102" s="6">
        <v>0</v>
      </c>
      <c r="M102" s="6">
        <v>0</v>
      </c>
      <c r="N102" s="7">
        <v>113.2</v>
      </c>
      <c r="O102" s="7">
        <v>4</v>
      </c>
      <c r="P102" s="8">
        <v>0.1116</v>
      </c>
      <c r="Q102" s="8">
        <v>0.05</v>
      </c>
      <c r="R102" s="9">
        <v>4.3548</v>
      </c>
      <c r="S102" s="9">
        <v>9</v>
      </c>
      <c r="T102" s="9">
        <v>3.8769999999999998</v>
      </c>
      <c r="U102" s="9">
        <v>6.51</v>
      </c>
      <c r="V102">
        <v>13528</v>
      </c>
      <c r="W102" s="14">
        <f t="shared" si="15"/>
        <v>4.6452</v>
      </c>
      <c r="X102" s="14">
        <f t="shared" si="16"/>
        <v>2.633</v>
      </c>
      <c r="Y102" s="15">
        <f t="shared" si="17"/>
        <v>-6.1600000000000002E-2</v>
      </c>
      <c r="Z102" s="14">
        <f t="shared" si="18"/>
        <v>4</v>
      </c>
      <c r="AA102" s="14">
        <f t="shared" si="19"/>
        <v>18.5808</v>
      </c>
      <c r="AB102" s="14">
        <f t="shared" si="20"/>
        <v>10.532</v>
      </c>
      <c r="AC102" s="15">
        <f t="shared" si="21"/>
        <v>-0.24640000000000001</v>
      </c>
    </row>
    <row r="103" spans="1:29" x14ac:dyDescent="0.35">
      <c r="A103" s="2" t="s">
        <v>170</v>
      </c>
      <c r="B103" s="2">
        <v>26</v>
      </c>
      <c r="C103" s="2" t="s">
        <v>46</v>
      </c>
      <c r="D103" s="2" t="s">
        <v>27</v>
      </c>
      <c r="E103" s="2" t="s">
        <v>28</v>
      </c>
      <c r="F103" s="2" t="s">
        <v>55</v>
      </c>
      <c r="G103" s="2">
        <v>2020</v>
      </c>
      <c r="H103" s="4">
        <v>44068</v>
      </c>
      <c r="I103" s="4">
        <v>44811</v>
      </c>
      <c r="J103" s="6">
        <v>44</v>
      </c>
      <c r="K103" s="6">
        <v>22</v>
      </c>
      <c r="L103" s="6">
        <v>25</v>
      </c>
      <c r="M103" s="6">
        <v>10</v>
      </c>
      <c r="N103" s="7">
        <v>223</v>
      </c>
      <c r="O103" s="7">
        <v>92</v>
      </c>
      <c r="P103" s="8">
        <v>0.15110000000000001</v>
      </c>
      <c r="Q103" s="8">
        <v>7.8100000000000003E-2</v>
      </c>
      <c r="R103" s="9">
        <v>3.7130000000000001</v>
      </c>
      <c r="S103" s="9">
        <v>4.9890999999999996</v>
      </c>
      <c r="T103" s="9">
        <v>4.0660999999999996</v>
      </c>
      <c r="U103" s="9">
        <v>5.1879999999999997</v>
      </c>
      <c r="V103">
        <v>16401</v>
      </c>
      <c r="W103" s="14">
        <f t="shared" si="15"/>
        <v>1.2760999999999996</v>
      </c>
      <c r="X103" s="14">
        <f t="shared" si="16"/>
        <v>1.1219000000000001</v>
      </c>
      <c r="Y103" s="15">
        <f t="shared" si="17"/>
        <v>-7.3000000000000009E-2</v>
      </c>
      <c r="Z103" s="14">
        <f t="shared" si="18"/>
        <v>92</v>
      </c>
      <c r="AA103" s="14">
        <f t="shared" si="19"/>
        <v>117.40119999999996</v>
      </c>
      <c r="AB103" s="14">
        <f t="shared" si="20"/>
        <v>103.21480000000001</v>
      </c>
      <c r="AC103" s="15">
        <f t="shared" si="21"/>
        <v>-6.7160000000000011</v>
      </c>
    </row>
    <row r="104" spans="1:29" x14ac:dyDescent="0.35">
      <c r="A104" s="2" t="s">
        <v>171</v>
      </c>
      <c r="B104" s="2">
        <v>23</v>
      </c>
      <c r="C104" s="2" t="s">
        <v>85</v>
      </c>
      <c r="D104" s="2" t="s">
        <v>27</v>
      </c>
      <c r="E104" s="2" t="s">
        <v>36</v>
      </c>
      <c r="F104" s="2" t="s">
        <v>42</v>
      </c>
      <c r="G104" s="2">
        <v>2020</v>
      </c>
      <c r="H104" s="4">
        <v>44062</v>
      </c>
      <c r="I104" s="4"/>
      <c r="J104" s="6">
        <v>122</v>
      </c>
      <c r="K104" s="10" t="s">
        <v>52</v>
      </c>
      <c r="L104" s="6">
        <v>0</v>
      </c>
      <c r="M104" s="10" t="s">
        <v>52</v>
      </c>
      <c r="N104" s="7">
        <v>112.1</v>
      </c>
      <c r="O104" s="10" t="s">
        <v>52</v>
      </c>
      <c r="P104" s="8">
        <v>0.1164</v>
      </c>
      <c r="Q104" s="10" t="s">
        <v>52</v>
      </c>
      <c r="R104" s="9">
        <v>3.3650000000000002</v>
      </c>
      <c r="S104" s="10" t="s">
        <v>52</v>
      </c>
      <c r="T104" s="9">
        <v>3.6501999999999999</v>
      </c>
      <c r="U104" s="10" t="s">
        <v>52</v>
      </c>
      <c r="V104">
        <v>6832</v>
      </c>
      <c r="W104" s="14" t="str">
        <f t="shared" si="15"/>
        <v/>
      </c>
      <c r="X104" s="14" t="str">
        <f t="shared" si="16"/>
        <v/>
      </c>
      <c r="Y104" s="15" t="str">
        <f t="shared" si="17"/>
        <v/>
      </c>
      <c r="Z104" s="14" t="str">
        <f t="shared" si="18"/>
        <v/>
      </c>
      <c r="AA104" s="14" t="str">
        <f t="shared" si="19"/>
        <v/>
      </c>
      <c r="AB104" s="14" t="str">
        <f t="shared" si="20"/>
        <v/>
      </c>
      <c r="AC104" s="15" t="str">
        <f t="shared" si="21"/>
        <v/>
      </c>
    </row>
    <row r="105" spans="1:29" x14ac:dyDescent="0.35">
      <c r="A105" s="2" t="s">
        <v>172</v>
      </c>
      <c r="B105" s="2">
        <v>24</v>
      </c>
      <c r="C105" s="2" t="s">
        <v>82</v>
      </c>
      <c r="D105" s="2" t="s">
        <v>27</v>
      </c>
      <c r="E105" s="2" t="s">
        <v>36</v>
      </c>
      <c r="F105" s="2" t="s">
        <v>42</v>
      </c>
      <c r="G105" s="2">
        <v>2020</v>
      </c>
      <c r="H105" s="4">
        <v>44054</v>
      </c>
      <c r="I105" s="4">
        <v>44701</v>
      </c>
      <c r="J105" s="2"/>
      <c r="K105" s="6">
        <v>6</v>
      </c>
      <c r="L105" s="2"/>
      <c r="M105" s="6">
        <v>0</v>
      </c>
      <c r="N105" s="2"/>
      <c r="O105" s="7">
        <v>6.1</v>
      </c>
      <c r="P105" s="2"/>
      <c r="Q105" s="8">
        <v>-3.1199999999999999E-2</v>
      </c>
      <c r="R105" s="2"/>
      <c r="S105" s="9">
        <v>8.5263000000000009</v>
      </c>
      <c r="T105" s="2"/>
      <c r="U105" s="9">
        <v>4.6900000000000004</v>
      </c>
      <c r="V105">
        <v>16432</v>
      </c>
      <c r="W105" s="14" t="str">
        <f t="shared" si="15"/>
        <v/>
      </c>
      <c r="X105" s="14" t="str">
        <f t="shared" si="16"/>
        <v/>
      </c>
      <c r="Y105" s="15" t="str">
        <f t="shared" si="17"/>
        <v/>
      </c>
      <c r="Z105" s="14" t="str">
        <f t="shared" si="18"/>
        <v/>
      </c>
      <c r="AA105" s="14" t="str">
        <f t="shared" si="19"/>
        <v/>
      </c>
      <c r="AB105" s="14" t="str">
        <f t="shared" si="20"/>
        <v/>
      </c>
      <c r="AC105" s="15" t="str">
        <f t="shared" si="21"/>
        <v/>
      </c>
    </row>
    <row r="106" spans="1:29" x14ac:dyDescent="0.35">
      <c r="A106" s="2" t="s">
        <v>173</v>
      </c>
      <c r="B106" s="2">
        <v>30</v>
      </c>
      <c r="C106" s="2" t="s">
        <v>77</v>
      </c>
      <c r="D106" s="2" t="s">
        <v>27</v>
      </c>
      <c r="E106" s="2" t="s">
        <v>28</v>
      </c>
      <c r="F106" s="2" t="s">
        <v>42</v>
      </c>
      <c r="G106" s="2">
        <v>2020</v>
      </c>
      <c r="H106" s="4">
        <v>44047</v>
      </c>
      <c r="I106" s="4">
        <v>44682</v>
      </c>
      <c r="J106" s="6">
        <v>165</v>
      </c>
      <c r="K106" s="6">
        <v>55</v>
      </c>
      <c r="L106" s="6">
        <v>0</v>
      </c>
      <c r="M106" s="6">
        <v>0</v>
      </c>
      <c r="N106" s="7">
        <v>147.1</v>
      </c>
      <c r="O106" s="7">
        <v>53.1</v>
      </c>
      <c r="P106" s="8">
        <v>0.2651</v>
      </c>
      <c r="Q106" s="8">
        <v>0.18959999999999999</v>
      </c>
      <c r="R106" s="9">
        <v>3.6652</v>
      </c>
      <c r="S106" s="9">
        <v>2.7</v>
      </c>
      <c r="T106" s="9">
        <v>2.8281999999999998</v>
      </c>
      <c r="U106" s="9">
        <v>4.0674000000000001</v>
      </c>
      <c r="V106">
        <v>11384</v>
      </c>
      <c r="W106" s="14">
        <f t="shared" si="15"/>
        <v>-0.96519999999999984</v>
      </c>
      <c r="X106" s="14">
        <f t="shared" si="16"/>
        <v>1.2392000000000003</v>
      </c>
      <c r="Y106" s="15">
        <f t="shared" si="17"/>
        <v>-7.5500000000000012E-2</v>
      </c>
      <c r="Z106" s="14">
        <f t="shared" si="18"/>
        <v>53.333333333333336</v>
      </c>
      <c r="AA106" s="14">
        <f t="shared" si="19"/>
        <v>-51.477333333333327</v>
      </c>
      <c r="AB106" s="14">
        <f t="shared" si="20"/>
        <v>66.090666666666692</v>
      </c>
      <c r="AC106" s="15">
        <f t="shared" si="21"/>
        <v>-4.0266666666666673</v>
      </c>
    </row>
    <row r="107" spans="1:29" x14ac:dyDescent="0.35">
      <c r="A107" s="2" t="s">
        <v>174</v>
      </c>
      <c r="B107" s="2">
        <v>25</v>
      </c>
      <c r="C107" s="2" t="s">
        <v>136</v>
      </c>
      <c r="D107" s="2" t="s">
        <v>27</v>
      </c>
      <c r="E107" s="2" t="s">
        <v>28</v>
      </c>
      <c r="F107" s="2" t="s">
        <v>32</v>
      </c>
      <c r="G107" s="2">
        <v>2020</v>
      </c>
      <c r="H107" s="4">
        <v>44042</v>
      </c>
      <c r="I107" s="4">
        <v>44472</v>
      </c>
      <c r="J107" s="6">
        <v>80</v>
      </c>
      <c r="K107" s="6">
        <v>112</v>
      </c>
      <c r="L107" s="6">
        <v>0</v>
      </c>
      <c r="M107" s="6">
        <v>0</v>
      </c>
      <c r="N107" s="7">
        <v>82.2</v>
      </c>
      <c r="O107" s="7">
        <v>102</v>
      </c>
      <c r="P107" s="8">
        <v>0.20230000000000001</v>
      </c>
      <c r="Q107" s="8">
        <v>0.15210000000000001</v>
      </c>
      <c r="R107" s="9">
        <v>3.2660999999999998</v>
      </c>
      <c r="S107" s="9">
        <v>3.3529</v>
      </c>
      <c r="T107" s="9">
        <v>3.1991000000000001</v>
      </c>
      <c r="U107" s="9">
        <v>3.9289999999999998</v>
      </c>
      <c r="V107">
        <v>19249</v>
      </c>
      <c r="W107" s="14">
        <f t="shared" si="15"/>
        <v>8.680000000000021E-2</v>
      </c>
      <c r="X107" s="14">
        <f t="shared" si="16"/>
        <v>0.72989999999999977</v>
      </c>
      <c r="Y107" s="15">
        <f t="shared" si="17"/>
        <v>-5.0199999999999995E-2</v>
      </c>
      <c r="Z107" s="14">
        <f t="shared" si="18"/>
        <v>82.666666666666671</v>
      </c>
      <c r="AA107" s="14">
        <f t="shared" si="19"/>
        <v>7.1754666666666846</v>
      </c>
      <c r="AB107" s="14">
        <f t="shared" si="20"/>
        <v>60.338399999999986</v>
      </c>
      <c r="AC107" s="15">
        <f t="shared" si="21"/>
        <v>-4.1498666666666661</v>
      </c>
    </row>
    <row r="108" spans="1:29" x14ac:dyDescent="0.35">
      <c r="A108" s="2" t="s">
        <v>175</v>
      </c>
      <c r="B108" s="2">
        <v>26</v>
      </c>
      <c r="C108" s="2" t="s">
        <v>46</v>
      </c>
      <c r="D108" s="2" t="s">
        <v>27</v>
      </c>
      <c r="E108" s="2" t="s">
        <v>36</v>
      </c>
      <c r="F108" s="2" t="s">
        <v>42</v>
      </c>
      <c r="G108" s="2">
        <v>2020</v>
      </c>
      <c r="H108" s="4">
        <v>44041</v>
      </c>
      <c r="I108" s="4">
        <v>44673</v>
      </c>
      <c r="J108" s="6">
        <v>51</v>
      </c>
      <c r="K108" s="6">
        <v>131</v>
      </c>
      <c r="L108" s="6">
        <v>0</v>
      </c>
      <c r="M108" s="6">
        <v>0</v>
      </c>
      <c r="N108" s="7">
        <v>51.2</v>
      </c>
      <c r="O108" s="7">
        <v>119.1</v>
      </c>
      <c r="P108" s="8">
        <v>0.25600000000000001</v>
      </c>
      <c r="Q108" s="8">
        <v>0.16089999999999999</v>
      </c>
      <c r="R108" s="9">
        <v>4.7031999999999998</v>
      </c>
      <c r="S108" s="9">
        <v>3.0922000000000001</v>
      </c>
      <c r="T108" s="9">
        <v>4.08</v>
      </c>
      <c r="U108" s="9">
        <v>3.9298999999999999</v>
      </c>
      <c r="V108">
        <v>19403</v>
      </c>
      <c r="W108" s="14">
        <f t="shared" si="15"/>
        <v>-1.6109999999999998</v>
      </c>
      <c r="X108" s="14">
        <f t="shared" si="16"/>
        <v>-0.15010000000000012</v>
      </c>
      <c r="Y108" s="15">
        <f t="shared" si="17"/>
        <v>-9.5100000000000018E-2</v>
      </c>
      <c r="Z108" s="14">
        <f t="shared" si="18"/>
        <v>51.666666666666664</v>
      </c>
      <c r="AA108" s="14">
        <f t="shared" si="19"/>
        <v>-83.234999999999985</v>
      </c>
      <c r="AB108" s="14">
        <f t="shared" si="20"/>
        <v>-7.755166666666673</v>
      </c>
      <c r="AC108" s="15">
        <f t="shared" si="21"/>
        <v>-4.9135000000000009</v>
      </c>
    </row>
    <row r="109" spans="1:29" x14ac:dyDescent="0.35">
      <c r="A109" s="2" t="s">
        <v>176</v>
      </c>
      <c r="B109" s="2">
        <v>27</v>
      </c>
      <c r="C109" s="2" t="s">
        <v>38</v>
      </c>
      <c r="D109" s="2" t="s">
        <v>27</v>
      </c>
      <c r="E109" s="2" t="s">
        <v>28</v>
      </c>
      <c r="F109" s="2" t="s">
        <v>42</v>
      </c>
      <c r="G109" s="2">
        <v>2020</v>
      </c>
      <c r="H109" s="4">
        <v>44034</v>
      </c>
      <c r="I109" s="4">
        <v>45394</v>
      </c>
      <c r="J109" s="6">
        <v>111</v>
      </c>
      <c r="K109" s="10" t="s">
        <v>52</v>
      </c>
      <c r="L109" s="6">
        <v>0</v>
      </c>
      <c r="M109" s="10" t="s">
        <v>52</v>
      </c>
      <c r="N109" s="7">
        <v>102.1</v>
      </c>
      <c r="O109" s="10" t="s">
        <v>52</v>
      </c>
      <c r="P109" s="8">
        <v>0.1201</v>
      </c>
      <c r="Q109" s="10" t="s">
        <v>52</v>
      </c>
      <c r="R109" s="9">
        <v>4.7492000000000001</v>
      </c>
      <c r="S109" s="10" t="s">
        <v>52</v>
      </c>
      <c r="T109" s="9">
        <v>4.1055999999999999</v>
      </c>
      <c r="U109" s="10" t="s">
        <v>52</v>
      </c>
      <c r="V109">
        <v>16201</v>
      </c>
      <c r="W109" s="14" t="str">
        <f t="shared" si="15"/>
        <v/>
      </c>
      <c r="X109" s="14" t="str">
        <f t="shared" si="16"/>
        <v/>
      </c>
      <c r="Y109" s="15" t="str">
        <f t="shared" si="17"/>
        <v/>
      </c>
      <c r="Z109" s="14" t="str">
        <f t="shared" si="18"/>
        <v/>
      </c>
      <c r="AA109" s="14" t="str">
        <f t="shared" si="19"/>
        <v/>
      </c>
      <c r="AB109" s="14" t="str">
        <f t="shared" si="20"/>
        <v/>
      </c>
      <c r="AC109" s="15" t="str">
        <f t="shared" si="21"/>
        <v/>
      </c>
    </row>
    <row r="110" spans="1:29" x14ac:dyDescent="0.35">
      <c r="A110" s="2" t="s">
        <v>177</v>
      </c>
      <c r="B110" s="2">
        <v>23</v>
      </c>
      <c r="C110" s="2" t="s">
        <v>54</v>
      </c>
      <c r="D110" s="2" t="s">
        <v>27</v>
      </c>
      <c r="E110" s="2" t="s">
        <v>28</v>
      </c>
      <c r="F110" s="2" t="s">
        <v>42</v>
      </c>
      <c r="G110" s="2">
        <v>2020</v>
      </c>
      <c r="H110" s="4">
        <v>44033</v>
      </c>
      <c r="I110" s="4">
        <v>44463</v>
      </c>
      <c r="J110" s="6">
        <v>19</v>
      </c>
      <c r="K110" s="6">
        <v>27</v>
      </c>
      <c r="L110" s="6">
        <v>19</v>
      </c>
      <c r="M110" s="6">
        <v>13</v>
      </c>
      <c r="N110" s="7">
        <v>89.1</v>
      </c>
      <c r="O110" s="7">
        <v>93</v>
      </c>
      <c r="P110" s="8">
        <v>0.05</v>
      </c>
      <c r="Q110" s="8">
        <v>0.1086</v>
      </c>
      <c r="R110" s="9">
        <v>7.2537000000000003</v>
      </c>
      <c r="S110" s="9">
        <v>5.7096999999999998</v>
      </c>
      <c r="T110" s="9">
        <v>5.97</v>
      </c>
      <c r="U110" s="9">
        <v>5.5814000000000004</v>
      </c>
      <c r="V110">
        <v>17969</v>
      </c>
      <c r="W110" s="14">
        <f t="shared" si="15"/>
        <v>-1.5440000000000005</v>
      </c>
      <c r="X110" s="14">
        <f t="shared" si="16"/>
        <v>-0.38859999999999939</v>
      </c>
      <c r="Y110" s="15">
        <f t="shared" si="17"/>
        <v>5.8599999999999999E-2</v>
      </c>
      <c r="Z110" s="14">
        <f t="shared" si="18"/>
        <v>89.333333333333329</v>
      </c>
      <c r="AA110" s="14">
        <f t="shared" si="19"/>
        <v>-137.9306666666667</v>
      </c>
      <c r="AB110" s="14">
        <f t="shared" si="20"/>
        <v>-34.714933333333278</v>
      </c>
      <c r="AC110" s="15">
        <f t="shared" si="21"/>
        <v>5.2349333333333332</v>
      </c>
    </row>
    <row r="111" spans="1:29" x14ac:dyDescent="0.35">
      <c r="A111" s="2" t="s">
        <v>178</v>
      </c>
      <c r="B111" s="2">
        <v>26</v>
      </c>
      <c r="C111" s="2" t="s">
        <v>51</v>
      </c>
      <c r="D111" s="2" t="s">
        <v>27</v>
      </c>
      <c r="E111" s="2" t="s">
        <v>28</v>
      </c>
      <c r="F111" s="2" t="s">
        <v>42</v>
      </c>
      <c r="G111" s="2">
        <v>2020</v>
      </c>
      <c r="H111" s="4">
        <v>44029</v>
      </c>
      <c r="I111" s="4">
        <v>45017</v>
      </c>
      <c r="J111" s="6">
        <v>73</v>
      </c>
      <c r="K111" s="6">
        <v>17</v>
      </c>
      <c r="L111" s="6">
        <v>1</v>
      </c>
      <c r="M111" s="6">
        <v>0</v>
      </c>
      <c r="N111" s="7">
        <v>70</v>
      </c>
      <c r="O111" s="7">
        <v>17</v>
      </c>
      <c r="P111" s="8">
        <v>0.20069999999999999</v>
      </c>
      <c r="Q111" s="8">
        <v>0.19739999999999999</v>
      </c>
      <c r="R111" s="9">
        <v>5.1429</v>
      </c>
      <c r="S111" s="9">
        <v>5.8235000000000001</v>
      </c>
      <c r="T111" s="9">
        <v>3.7890999999999999</v>
      </c>
      <c r="U111" s="9">
        <v>3.96</v>
      </c>
      <c r="V111">
        <v>17793</v>
      </c>
      <c r="W111" s="14">
        <f t="shared" si="15"/>
        <v>0.68060000000000009</v>
      </c>
      <c r="X111" s="14">
        <f t="shared" si="16"/>
        <v>0.17090000000000005</v>
      </c>
      <c r="Y111" s="15">
        <f t="shared" si="17"/>
        <v>-3.2999999999999974E-3</v>
      </c>
      <c r="Z111" s="14">
        <f t="shared" si="18"/>
        <v>17</v>
      </c>
      <c r="AA111" s="14">
        <f t="shared" si="19"/>
        <v>11.570200000000002</v>
      </c>
      <c r="AB111" s="14">
        <f t="shared" si="20"/>
        <v>2.9053000000000009</v>
      </c>
      <c r="AC111" s="15">
        <f t="shared" si="21"/>
        <v>-5.6099999999999955E-2</v>
      </c>
    </row>
    <row r="112" spans="1:29" x14ac:dyDescent="0.35">
      <c r="A112" s="2" t="s">
        <v>179</v>
      </c>
      <c r="B112" s="2">
        <v>29</v>
      </c>
      <c r="C112" s="2" t="s">
        <v>31</v>
      </c>
      <c r="D112" s="2" t="s">
        <v>27</v>
      </c>
      <c r="E112" s="2" t="s">
        <v>36</v>
      </c>
      <c r="F112" s="2" t="s">
        <v>42</v>
      </c>
      <c r="G112" s="2">
        <v>2020</v>
      </c>
      <c r="H112" s="4">
        <v>44027</v>
      </c>
      <c r="I112" s="4">
        <v>44661</v>
      </c>
      <c r="J112" s="6">
        <v>88</v>
      </c>
      <c r="K112" s="6">
        <v>44</v>
      </c>
      <c r="L112" s="6">
        <v>42</v>
      </c>
      <c r="M112" s="6">
        <v>14</v>
      </c>
      <c r="N112" s="7">
        <v>309.10000000000002</v>
      </c>
      <c r="O112" s="7">
        <v>122.1</v>
      </c>
      <c r="P112" s="8">
        <v>4.99E-2</v>
      </c>
      <c r="Q112" s="8">
        <v>8.0699999999999994E-2</v>
      </c>
      <c r="R112" s="9">
        <v>5.2080000000000002</v>
      </c>
      <c r="S112" s="9">
        <v>5.6649000000000003</v>
      </c>
      <c r="T112" s="9">
        <v>4.4599000000000002</v>
      </c>
      <c r="U112" s="9">
        <v>4.9885999999999999</v>
      </c>
      <c r="V112">
        <v>14361</v>
      </c>
      <c r="W112" s="14">
        <f t="shared" si="15"/>
        <v>0.45690000000000008</v>
      </c>
      <c r="X112" s="14">
        <f t="shared" si="16"/>
        <v>0.52869999999999973</v>
      </c>
      <c r="Y112" s="15">
        <f t="shared" si="17"/>
        <v>3.0799999999999994E-2</v>
      </c>
      <c r="Z112" s="14">
        <f t="shared" si="18"/>
        <v>122.33333333333333</v>
      </c>
      <c r="AA112" s="14">
        <f t="shared" si="19"/>
        <v>55.894100000000009</v>
      </c>
      <c r="AB112" s="14">
        <f t="shared" si="20"/>
        <v>64.677633333333304</v>
      </c>
      <c r="AC112" s="15">
        <f t="shared" si="21"/>
        <v>3.7678666666666656</v>
      </c>
    </row>
    <row r="113" spans="1:29" x14ac:dyDescent="0.35">
      <c r="A113" s="2" t="s">
        <v>180</v>
      </c>
      <c r="B113" s="2">
        <v>30</v>
      </c>
      <c r="C113" s="2" t="s">
        <v>159</v>
      </c>
      <c r="D113" s="2" t="s">
        <v>27</v>
      </c>
      <c r="E113" s="2" t="s">
        <v>28</v>
      </c>
      <c r="F113" s="2" t="s">
        <v>42</v>
      </c>
      <c r="G113" s="2">
        <v>2020</v>
      </c>
      <c r="H113" s="4">
        <v>43990</v>
      </c>
      <c r="I113" s="4">
        <v>44367</v>
      </c>
      <c r="J113" s="6">
        <v>161</v>
      </c>
      <c r="K113" s="6">
        <v>134</v>
      </c>
      <c r="L113" s="6">
        <v>0</v>
      </c>
      <c r="M113" s="6">
        <v>21</v>
      </c>
      <c r="N113" s="7">
        <v>175</v>
      </c>
      <c r="O113" s="7">
        <v>124.2</v>
      </c>
      <c r="P113" s="8">
        <v>0.19939999999999999</v>
      </c>
      <c r="Q113" s="8">
        <v>0.1623</v>
      </c>
      <c r="R113" s="9">
        <v>3.1371000000000002</v>
      </c>
      <c r="S113" s="9">
        <v>3.8262</v>
      </c>
      <c r="T113" s="9">
        <v>3.3934000000000002</v>
      </c>
      <c r="U113" s="9">
        <v>3.6943000000000001</v>
      </c>
      <c r="V113">
        <v>12777</v>
      </c>
      <c r="W113" s="14">
        <f t="shared" si="15"/>
        <v>0.68909999999999982</v>
      </c>
      <c r="X113" s="14">
        <f t="shared" si="16"/>
        <v>0.30089999999999995</v>
      </c>
      <c r="Y113" s="15">
        <f t="shared" si="17"/>
        <v>-3.7099999999999994E-2</v>
      </c>
      <c r="Z113" s="14">
        <f t="shared" si="18"/>
        <v>124.66666666666667</v>
      </c>
      <c r="AA113" s="14">
        <f t="shared" si="19"/>
        <v>85.90779999999998</v>
      </c>
      <c r="AB113" s="14">
        <f t="shared" si="20"/>
        <v>37.512199999999993</v>
      </c>
      <c r="AC113" s="15">
        <f t="shared" si="21"/>
        <v>-4.6251333333333324</v>
      </c>
    </row>
    <row r="114" spans="1:29" x14ac:dyDescent="0.35">
      <c r="A114" s="2" t="s">
        <v>181</v>
      </c>
      <c r="B114" s="2">
        <v>31</v>
      </c>
      <c r="C114" s="2" t="s">
        <v>182</v>
      </c>
      <c r="D114" s="2" t="s">
        <v>27</v>
      </c>
      <c r="E114" s="2" t="s">
        <v>36</v>
      </c>
      <c r="F114" s="2" t="s">
        <v>42</v>
      </c>
      <c r="G114" s="2">
        <v>2020</v>
      </c>
      <c r="H114" s="4">
        <v>43920</v>
      </c>
      <c r="I114" s="4">
        <v>44422</v>
      </c>
      <c r="J114" s="6">
        <v>84</v>
      </c>
      <c r="K114" s="6">
        <v>31</v>
      </c>
      <c r="L114" s="6">
        <v>84</v>
      </c>
      <c r="M114" s="6">
        <v>31</v>
      </c>
      <c r="N114" s="7">
        <v>519.20000000000005</v>
      </c>
      <c r="O114" s="7">
        <v>151</v>
      </c>
      <c r="P114" s="8">
        <v>0.312</v>
      </c>
      <c r="Q114" s="8">
        <v>0.22120000000000001</v>
      </c>
      <c r="R114" s="9">
        <v>3.0827</v>
      </c>
      <c r="S114" s="9">
        <v>3.9338000000000002</v>
      </c>
      <c r="T114" s="9">
        <v>2.5735999999999999</v>
      </c>
      <c r="U114" s="9">
        <v>3.7168000000000001</v>
      </c>
      <c r="V114">
        <v>10603</v>
      </c>
      <c r="W114" s="14">
        <f t="shared" si="15"/>
        <v>0.85110000000000019</v>
      </c>
      <c r="X114" s="14">
        <f t="shared" si="16"/>
        <v>1.1432000000000002</v>
      </c>
      <c r="Y114" s="15">
        <f t="shared" si="17"/>
        <v>-9.0799999999999992E-2</v>
      </c>
      <c r="Z114" s="14">
        <f t="shared" si="18"/>
        <v>151</v>
      </c>
      <c r="AA114" s="14">
        <f t="shared" si="19"/>
        <v>128.51610000000002</v>
      </c>
      <c r="AB114" s="14">
        <f t="shared" si="20"/>
        <v>172.62320000000003</v>
      </c>
      <c r="AC114" s="15">
        <f t="shared" si="21"/>
        <v>-13.710799999999999</v>
      </c>
    </row>
    <row r="115" spans="1:29" x14ac:dyDescent="0.35">
      <c r="A115" s="2" t="s">
        <v>183</v>
      </c>
      <c r="B115" s="2">
        <v>27</v>
      </c>
      <c r="C115" s="2" t="s">
        <v>114</v>
      </c>
      <c r="D115" s="2" t="s">
        <v>27</v>
      </c>
      <c r="E115" s="2" t="s">
        <v>28</v>
      </c>
      <c r="F115" s="2" t="s">
        <v>42</v>
      </c>
      <c r="G115" s="2">
        <v>2020</v>
      </c>
      <c r="H115" s="4">
        <v>43916</v>
      </c>
      <c r="I115" s="4">
        <v>44467</v>
      </c>
      <c r="J115" s="6">
        <v>64</v>
      </c>
      <c r="K115" s="6">
        <v>45</v>
      </c>
      <c r="L115" s="6">
        <v>64</v>
      </c>
      <c r="M115" s="6">
        <v>44</v>
      </c>
      <c r="N115" s="7">
        <v>382.1</v>
      </c>
      <c r="O115" s="7">
        <v>225.1</v>
      </c>
      <c r="P115" s="8">
        <v>0.18770000000000001</v>
      </c>
      <c r="Q115" s="8">
        <v>0.10680000000000001</v>
      </c>
      <c r="R115" s="9">
        <v>3.6722000000000001</v>
      </c>
      <c r="S115" s="9">
        <v>4.9926000000000004</v>
      </c>
      <c r="T115" s="9">
        <v>3.0954000000000002</v>
      </c>
      <c r="U115" s="9">
        <v>4.7967000000000004</v>
      </c>
      <c r="V115">
        <v>11762</v>
      </c>
      <c r="W115" s="14">
        <f t="shared" si="15"/>
        <v>1.3204000000000002</v>
      </c>
      <c r="X115" s="14">
        <f t="shared" si="16"/>
        <v>1.7013000000000003</v>
      </c>
      <c r="Y115" s="15">
        <f t="shared" si="17"/>
        <v>-8.09E-2</v>
      </c>
      <c r="Z115" s="14">
        <f t="shared" si="18"/>
        <v>225.33333333333334</v>
      </c>
      <c r="AA115" s="14">
        <f t="shared" si="19"/>
        <v>297.53013333333342</v>
      </c>
      <c r="AB115" s="14">
        <f t="shared" si="20"/>
        <v>383.35960000000006</v>
      </c>
      <c r="AC115" s="15">
        <f t="shared" si="21"/>
        <v>-18.229466666666667</v>
      </c>
    </row>
    <row r="116" spans="1:29" x14ac:dyDescent="0.35">
      <c r="A116" s="2" t="s">
        <v>184</v>
      </c>
      <c r="B116" s="2">
        <v>33</v>
      </c>
      <c r="C116" s="2" t="s">
        <v>57</v>
      </c>
      <c r="D116" s="2" t="s">
        <v>27</v>
      </c>
      <c r="E116" s="2" t="s">
        <v>36</v>
      </c>
      <c r="F116" s="2" t="s">
        <v>42</v>
      </c>
      <c r="G116" s="2">
        <v>2020</v>
      </c>
      <c r="H116" s="4">
        <v>43910</v>
      </c>
      <c r="I116" s="4">
        <v>44411</v>
      </c>
      <c r="J116" s="6">
        <v>104</v>
      </c>
      <c r="K116" s="6">
        <v>1</v>
      </c>
      <c r="L116" s="6">
        <v>13</v>
      </c>
      <c r="M116" s="6">
        <v>0</v>
      </c>
      <c r="N116" s="7">
        <v>163.19999999999999</v>
      </c>
      <c r="O116" s="7">
        <v>1</v>
      </c>
      <c r="P116" s="8">
        <v>0.1089</v>
      </c>
      <c r="Q116" s="8">
        <v>0</v>
      </c>
      <c r="R116" s="9">
        <v>4.2892000000000001</v>
      </c>
      <c r="S116" s="9">
        <v>18</v>
      </c>
      <c r="T116" s="9">
        <v>4.7312000000000003</v>
      </c>
      <c r="U116" s="9">
        <v>4.17</v>
      </c>
      <c r="V116">
        <v>6499</v>
      </c>
      <c r="W116" s="14">
        <f t="shared" si="15"/>
        <v>13.710799999999999</v>
      </c>
      <c r="X116" s="14">
        <f t="shared" si="16"/>
        <v>-0.56120000000000037</v>
      </c>
      <c r="Y116" s="15">
        <f t="shared" si="17"/>
        <v>-0.1089</v>
      </c>
      <c r="Z116" s="14">
        <f t="shared" si="18"/>
        <v>1</v>
      </c>
      <c r="AA116" s="14">
        <f t="shared" si="19"/>
        <v>13.710799999999999</v>
      </c>
      <c r="AB116" s="14">
        <f t="shared" si="20"/>
        <v>-0.56120000000000037</v>
      </c>
      <c r="AC116" s="15">
        <f t="shared" si="21"/>
        <v>-0.1089</v>
      </c>
    </row>
    <row r="117" spans="1:29" x14ac:dyDescent="0.35">
      <c r="A117" s="2" t="s">
        <v>185</v>
      </c>
      <c r="B117" s="2">
        <v>21</v>
      </c>
      <c r="C117" s="2" t="s">
        <v>51</v>
      </c>
      <c r="D117" s="2" t="s">
        <v>27</v>
      </c>
      <c r="E117" s="2" t="s">
        <v>28</v>
      </c>
      <c r="F117" s="2" t="s">
        <v>100</v>
      </c>
      <c r="G117" s="2">
        <v>2020</v>
      </c>
      <c r="H117" s="4">
        <v>43910</v>
      </c>
      <c r="I117" s="4">
        <v>44472</v>
      </c>
      <c r="J117" s="6">
        <v>22</v>
      </c>
      <c r="K117" s="6">
        <v>117</v>
      </c>
      <c r="L117" s="6">
        <v>0</v>
      </c>
      <c r="M117" s="6">
        <v>0</v>
      </c>
      <c r="N117" s="7">
        <v>23</v>
      </c>
      <c r="O117" s="7">
        <v>114.2</v>
      </c>
      <c r="P117" s="8">
        <v>0.19589999999999999</v>
      </c>
      <c r="Q117" s="8">
        <v>0.27</v>
      </c>
      <c r="R117" s="9">
        <v>3.9129999999999998</v>
      </c>
      <c r="S117" s="9">
        <v>2.6686000000000001</v>
      </c>
      <c r="T117" s="9">
        <v>3.17</v>
      </c>
      <c r="U117" s="9">
        <v>2.3635000000000002</v>
      </c>
      <c r="V117">
        <v>20373</v>
      </c>
      <c r="W117" s="14">
        <f t="shared" si="15"/>
        <v>-1.2443999999999997</v>
      </c>
      <c r="X117" s="14">
        <f t="shared" si="16"/>
        <v>-0.80649999999999977</v>
      </c>
      <c r="Y117" s="15">
        <f t="shared" si="17"/>
        <v>7.4100000000000027E-2</v>
      </c>
      <c r="Z117" s="14">
        <f t="shared" si="18"/>
        <v>23</v>
      </c>
      <c r="AA117" s="14">
        <f t="shared" si="19"/>
        <v>-28.621199999999995</v>
      </c>
      <c r="AB117" s="14">
        <f t="shared" si="20"/>
        <v>-18.549499999999995</v>
      </c>
      <c r="AC117" s="15">
        <f t="shared" si="21"/>
        <v>1.7043000000000006</v>
      </c>
    </row>
    <row r="118" spans="1:29" x14ac:dyDescent="0.35">
      <c r="A118" s="2" t="s">
        <v>186</v>
      </c>
      <c r="B118" s="2">
        <v>27</v>
      </c>
      <c r="C118" s="2" t="s">
        <v>147</v>
      </c>
      <c r="D118" s="2" t="s">
        <v>27</v>
      </c>
      <c r="E118" s="2" t="s">
        <v>28</v>
      </c>
      <c r="F118" s="2" t="s">
        <v>42</v>
      </c>
      <c r="G118" s="2">
        <v>2020</v>
      </c>
      <c r="H118" s="4">
        <v>43910</v>
      </c>
      <c r="I118" s="4">
        <v>44387</v>
      </c>
      <c r="J118" s="6">
        <v>26</v>
      </c>
      <c r="K118" s="6">
        <v>32</v>
      </c>
      <c r="L118" s="6">
        <v>24</v>
      </c>
      <c r="M118" s="6">
        <v>5</v>
      </c>
      <c r="N118" s="7">
        <v>124.2</v>
      </c>
      <c r="O118" s="7">
        <v>62.1</v>
      </c>
      <c r="P118" s="8">
        <v>0.1208</v>
      </c>
      <c r="Q118" s="8">
        <v>4.1200000000000001E-2</v>
      </c>
      <c r="R118" s="9">
        <v>5.2701000000000002</v>
      </c>
      <c r="S118" s="9">
        <v>5.4866000000000001</v>
      </c>
      <c r="T118" s="9">
        <v>4.9870000000000001</v>
      </c>
      <c r="U118" s="9">
        <v>4.9447999999999999</v>
      </c>
      <c r="V118">
        <v>16981</v>
      </c>
      <c r="W118" s="14">
        <f t="shared" si="15"/>
        <v>0.21649999999999991</v>
      </c>
      <c r="X118" s="14">
        <f t="shared" si="16"/>
        <v>-4.2200000000000237E-2</v>
      </c>
      <c r="Y118" s="15">
        <f t="shared" si="17"/>
        <v>-7.9600000000000004E-2</v>
      </c>
      <c r="Z118" s="14">
        <f t="shared" si="18"/>
        <v>62.333333333333336</v>
      </c>
      <c r="AA118" s="14">
        <f t="shared" si="19"/>
        <v>13.495166666666663</v>
      </c>
      <c r="AB118" s="14">
        <f t="shared" si="20"/>
        <v>-2.6304666666666816</v>
      </c>
      <c r="AC118" s="15">
        <f t="shared" si="21"/>
        <v>-4.961733333333334</v>
      </c>
    </row>
    <row r="119" spans="1:29" x14ac:dyDescent="0.35">
      <c r="A119" s="2" t="s">
        <v>187</v>
      </c>
      <c r="B119" s="2">
        <v>26</v>
      </c>
      <c r="C119" s="2" t="s">
        <v>77</v>
      </c>
      <c r="D119" s="2" t="s">
        <v>27</v>
      </c>
      <c r="E119" s="2" t="s">
        <v>28</v>
      </c>
      <c r="F119" s="2" t="s">
        <v>32</v>
      </c>
      <c r="G119" s="2">
        <v>2020</v>
      </c>
      <c r="H119" s="4">
        <v>43888</v>
      </c>
      <c r="I119" s="4">
        <v>44460</v>
      </c>
      <c r="J119" s="6">
        <v>66</v>
      </c>
      <c r="K119" s="6">
        <v>42</v>
      </c>
      <c r="L119" s="6">
        <v>66</v>
      </c>
      <c r="M119" s="6">
        <v>37</v>
      </c>
      <c r="N119" s="7">
        <v>396.2</v>
      </c>
      <c r="O119" s="7">
        <v>197.1</v>
      </c>
      <c r="P119" s="8">
        <v>0.22589999999999999</v>
      </c>
      <c r="Q119" s="8">
        <v>0.1588</v>
      </c>
      <c r="R119" s="9">
        <v>3.1311</v>
      </c>
      <c r="S119" s="9">
        <v>4.6520000000000001</v>
      </c>
      <c r="T119" s="9">
        <v>2.9885999999999999</v>
      </c>
      <c r="U119" s="9">
        <v>4.7377000000000002</v>
      </c>
      <c r="V119">
        <v>15890</v>
      </c>
      <c r="W119" s="14">
        <f t="shared" si="15"/>
        <v>1.5209000000000001</v>
      </c>
      <c r="X119" s="14">
        <f t="shared" si="16"/>
        <v>1.7491000000000003</v>
      </c>
      <c r="Y119" s="15">
        <f t="shared" si="17"/>
        <v>-6.7099999999999993E-2</v>
      </c>
      <c r="Z119" s="14">
        <f t="shared" si="18"/>
        <v>197.33333333333334</v>
      </c>
      <c r="AA119" s="14">
        <f t="shared" si="19"/>
        <v>300.1242666666667</v>
      </c>
      <c r="AB119" s="14">
        <f t="shared" si="20"/>
        <v>345.15573333333339</v>
      </c>
      <c r="AC119" s="15">
        <f t="shared" si="21"/>
        <v>-13.241066666666667</v>
      </c>
    </row>
    <row r="120" spans="1:29" x14ac:dyDescent="0.35">
      <c r="A120" s="2" t="s">
        <v>188</v>
      </c>
      <c r="B120" s="2">
        <v>34</v>
      </c>
      <c r="C120" s="2" t="s">
        <v>182</v>
      </c>
      <c r="D120" s="2" t="s">
        <v>27</v>
      </c>
      <c r="E120" s="2" t="s">
        <v>28</v>
      </c>
      <c r="F120" s="2" t="s">
        <v>42</v>
      </c>
      <c r="G120" s="2">
        <v>2019</v>
      </c>
      <c r="H120" s="4">
        <v>43760</v>
      </c>
      <c r="I120" s="4"/>
      <c r="J120" s="6">
        <v>49</v>
      </c>
      <c r="K120" s="10" t="s">
        <v>52</v>
      </c>
      <c r="L120" s="6">
        <v>33</v>
      </c>
      <c r="M120" s="10" t="s">
        <v>52</v>
      </c>
      <c r="N120" s="7">
        <v>234.1</v>
      </c>
      <c r="O120" s="10" t="s">
        <v>52</v>
      </c>
      <c r="P120" s="8">
        <v>9.4700000000000006E-2</v>
      </c>
      <c r="Q120" s="10" t="s">
        <v>52</v>
      </c>
      <c r="R120" s="9">
        <v>3.6871</v>
      </c>
      <c r="S120" s="10" t="s">
        <v>52</v>
      </c>
      <c r="T120" s="9">
        <v>4.3221999999999996</v>
      </c>
      <c r="U120" s="10" t="s">
        <v>52</v>
      </c>
      <c r="V120">
        <v>8185</v>
      </c>
      <c r="W120" s="14" t="str">
        <f t="shared" si="15"/>
        <v/>
      </c>
      <c r="X120" s="14" t="str">
        <f t="shared" si="16"/>
        <v/>
      </c>
      <c r="Y120" s="15" t="str">
        <f t="shared" si="17"/>
        <v/>
      </c>
      <c r="Z120" s="14" t="str">
        <f t="shared" si="18"/>
        <v/>
      </c>
      <c r="AA120" s="14" t="str">
        <f t="shared" si="19"/>
        <v/>
      </c>
      <c r="AB120" s="14" t="str">
        <f t="shared" si="20"/>
        <v/>
      </c>
      <c r="AC120" s="15" t="str">
        <f t="shared" si="21"/>
        <v/>
      </c>
    </row>
    <row r="121" spans="1:29" x14ac:dyDescent="0.35">
      <c r="A121" s="2" t="s">
        <v>189</v>
      </c>
      <c r="B121" s="2">
        <v>27</v>
      </c>
      <c r="C121" s="2" t="s">
        <v>64</v>
      </c>
      <c r="D121" s="2" t="s">
        <v>27</v>
      </c>
      <c r="E121" s="2" t="s">
        <v>28</v>
      </c>
      <c r="F121" s="2" t="s">
        <v>42</v>
      </c>
      <c r="G121" s="2">
        <v>2019</v>
      </c>
      <c r="H121" s="4">
        <v>43741</v>
      </c>
      <c r="I121" s="4">
        <v>44759</v>
      </c>
      <c r="J121" s="6">
        <v>13</v>
      </c>
      <c r="K121" s="6">
        <v>2</v>
      </c>
      <c r="L121" s="6">
        <v>2</v>
      </c>
      <c r="M121" s="6">
        <v>0</v>
      </c>
      <c r="N121" s="7">
        <v>9.1</v>
      </c>
      <c r="O121" s="7">
        <v>3</v>
      </c>
      <c r="P121" s="8">
        <v>-8.8900000000000007E-2</v>
      </c>
      <c r="Q121" s="8">
        <v>7.6899999999999996E-2</v>
      </c>
      <c r="R121" s="9">
        <v>0.96430000000000005</v>
      </c>
      <c r="S121" s="9">
        <v>9</v>
      </c>
      <c r="T121" s="9">
        <v>5.52</v>
      </c>
      <c r="U121" s="9">
        <v>11.45</v>
      </c>
      <c r="V121">
        <v>13483</v>
      </c>
      <c r="W121" s="14">
        <f t="shared" si="15"/>
        <v>8.0357000000000003</v>
      </c>
      <c r="X121" s="14">
        <f t="shared" si="16"/>
        <v>5.93</v>
      </c>
      <c r="Y121" s="15">
        <f t="shared" si="17"/>
        <v>0.1658</v>
      </c>
      <c r="Z121" s="14">
        <f t="shared" si="18"/>
        <v>3</v>
      </c>
      <c r="AA121" s="14">
        <f t="shared" si="19"/>
        <v>24.107100000000003</v>
      </c>
      <c r="AB121" s="14">
        <f t="shared" si="20"/>
        <v>17.79</v>
      </c>
      <c r="AC121" s="15">
        <f t="shared" si="21"/>
        <v>0.49740000000000001</v>
      </c>
    </row>
    <row r="122" spans="1:29" x14ac:dyDescent="0.35">
      <c r="A122" s="2" t="s">
        <v>190</v>
      </c>
      <c r="B122" s="2">
        <v>27</v>
      </c>
      <c r="C122" s="2" t="s">
        <v>107</v>
      </c>
      <c r="D122" s="2" t="s">
        <v>27</v>
      </c>
      <c r="E122" s="2" t="s">
        <v>36</v>
      </c>
      <c r="F122" s="2" t="s">
        <v>42</v>
      </c>
      <c r="G122" s="2">
        <v>2019</v>
      </c>
      <c r="H122" s="4">
        <v>43726</v>
      </c>
      <c r="I122" s="4">
        <v>44289</v>
      </c>
      <c r="J122" s="6">
        <v>56</v>
      </c>
      <c r="K122" s="6">
        <v>124</v>
      </c>
      <c r="L122" s="6">
        <v>0</v>
      </c>
      <c r="M122" s="6">
        <v>0</v>
      </c>
      <c r="N122" s="7">
        <v>52.2</v>
      </c>
      <c r="O122" s="7">
        <v>101.2</v>
      </c>
      <c r="P122" s="8">
        <v>0.21299999999999999</v>
      </c>
      <c r="Q122" s="8">
        <v>0.19109999999999999</v>
      </c>
      <c r="R122" s="9">
        <v>4.4429999999999996</v>
      </c>
      <c r="S122" s="9">
        <v>3.2753999999999999</v>
      </c>
      <c r="T122" s="9">
        <v>3.2372999999999998</v>
      </c>
      <c r="U122" s="9">
        <v>3.516</v>
      </c>
      <c r="V122">
        <v>15042</v>
      </c>
      <c r="W122" s="14">
        <f t="shared" si="15"/>
        <v>-1.1675999999999997</v>
      </c>
      <c r="X122" s="14">
        <f t="shared" si="16"/>
        <v>0.27870000000000017</v>
      </c>
      <c r="Y122" s="15">
        <f t="shared" si="17"/>
        <v>-2.1900000000000003E-2</v>
      </c>
      <c r="Z122" s="14">
        <f t="shared" si="18"/>
        <v>52.666666666666664</v>
      </c>
      <c r="AA122" s="14">
        <f t="shared" si="19"/>
        <v>-61.493599999999986</v>
      </c>
      <c r="AB122" s="14">
        <f t="shared" si="20"/>
        <v>14.678200000000007</v>
      </c>
      <c r="AC122" s="15">
        <f t="shared" si="21"/>
        <v>-1.1534000000000002</v>
      </c>
    </row>
    <row r="123" spans="1:29" x14ac:dyDescent="0.35">
      <c r="A123" s="2" t="s">
        <v>191</v>
      </c>
      <c r="B123" s="2">
        <v>31</v>
      </c>
      <c r="C123" s="2" t="s">
        <v>51</v>
      </c>
      <c r="D123" s="2" t="s">
        <v>27</v>
      </c>
      <c r="E123" s="2" t="s">
        <v>28</v>
      </c>
      <c r="F123" s="2" t="s">
        <v>42</v>
      </c>
      <c r="G123" s="2">
        <v>2019</v>
      </c>
      <c r="H123" s="4">
        <v>43709</v>
      </c>
      <c r="I123" s="4"/>
      <c r="J123" s="6">
        <v>151</v>
      </c>
      <c r="K123" s="10" t="s">
        <v>52</v>
      </c>
      <c r="L123" s="6">
        <v>1</v>
      </c>
      <c r="M123" s="10" t="s">
        <v>52</v>
      </c>
      <c r="N123" s="7">
        <v>174.1</v>
      </c>
      <c r="O123" s="10" t="s">
        <v>52</v>
      </c>
      <c r="P123" s="8">
        <v>0.13</v>
      </c>
      <c r="Q123" s="10" t="s">
        <v>52</v>
      </c>
      <c r="R123" s="9">
        <v>3.4588999999999999</v>
      </c>
      <c r="S123" s="10" t="s">
        <v>52</v>
      </c>
      <c r="T123" s="9">
        <v>4.0766999999999998</v>
      </c>
      <c r="U123" s="10" t="s">
        <v>52</v>
      </c>
      <c r="V123">
        <v>9029</v>
      </c>
      <c r="W123" s="14" t="str">
        <f t="shared" si="15"/>
        <v/>
      </c>
      <c r="X123" s="14" t="str">
        <f t="shared" si="16"/>
        <v/>
      </c>
      <c r="Y123" s="15" t="str">
        <f t="shared" si="17"/>
        <v/>
      </c>
      <c r="Z123" s="14" t="str">
        <f t="shared" si="18"/>
        <v/>
      </c>
      <c r="AA123" s="14" t="str">
        <f t="shared" si="19"/>
        <v/>
      </c>
      <c r="AB123" s="14" t="str">
        <f t="shared" si="20"/>
        <v/>
      </c>
      <c r="AC123" s="15" t="str">
        <f t="shared" si="21"/>
        <v/>
      </c>
    </row>
    <row r="124" spans="1:29" x14ac:dyDescent="0.35">
      <c r="A124" s="2" t="s">
        <v>192</v>
      </c>
      <c r="B124" s="2">
        <v>34</v>
      </c>
      <c r="C124" s="2" t="s">
        <v>136</v>
      </c>
      <c r="D124" s="2" t="s">
        <v>27</v>
      </c>
      <c r="E124" s="2" t="s">
        <v>28</v>
      </c>
      <c r="F124" s="2" t="s">
        <v>42</v>
      </c>
      <c r="G124" s="2">
        <v>2019</v>
      </c>
      <c r="H124" s="4">
        <v>43692</v>
      </c>
      <c r="I124" s="4">
        <v>44440</v>
      </c>
      <c r="J124" s="6">
        <v>192</v>
      </c>
      <c r="K124" s="6">
        <v>70</v>
      </c>
      <c r="L124" s="6">
        <v>0</v>
      </c>
      <c r="M124" s="6">
        <v>1</v>
      </c>
      <c r="N124" s="7">
        <v>200.1</v>
      </c>
      <c r="O124" s="7">
        <v>75.2</v>
      </c>
      <c r="P124" s="8">
        <v>0.2248</v>
      </c>
      <c r="Q124" s="8">
        <v>0.1847</v>
      </c>
      <c r="R124" s="9">
        <v>2.8302999999999998</v>
      </c>
      <c r="S124" s="9">
        <v>2.7357</v>
      </c>
      <c r="T124" s="9">
        <v>3.0234000000000001</v>
      </c>
      <c r="U124" s="9">
        <v>3.5943000000000001</v>
      </c>
      <c r="V124">
        <v>8241</v>
      </c>
      <c r="W124" s="14">
        <f t="shared" si="15"/>
        <v>-9.4599999999999795E-2</v>
      </c>
      <c r="X124" s="14">
        <f t="shared" si="16"/>
        <v>0.57089999999999996</v>
      </c>
      <c r="Y124" s="15">
        <f t="shared" si="17"/>
        <v>-4.0099999999999997E-2</v>
      </c>
      <c r="Z124" s="14">
        <f t="shared" si="18"/>
        <v>75.666666666666671</v>
      </c>
      <c r="AA124" s="14">
        <f t="shared" si="19"/>
        <v>-7.1580666666666515</v>
      </c>
      <c r="AB124" s="14">
        <f t="shared" si="20"/>
        <v>43.198099999999997</v>
      </c>
      <c r="AC124" s="15">
        <f t="shared" si="21"/>
        <v>-3.0342333333333333</v>
      </c>
    </row>
    <row r="125" spans="1:29" x14ac:dyDescent="0.35">
      <c r="A125" s="2" t="s">
        <v>193</v>
      </c>
      <c r="B125" s="2">
        <v>29</v>
      </c>
      <c r="C125" s="2" t="s">
        <v>64</v>
      </c>
      <c r="D125" s="2" t="s">
        <v>27</v>
      </c>
      <c r="E125" s="2" t="s">
        <v>28</v>
      </c>
      <c r="F125" s="2" t="s">
        <v>42</v>
      </c>
      <c r="G125" s="2">
        <v>2019</v>
      </c>
      <c r="H125" s="4">
        <v>43692</v>
      </c>
      <c r="I125" s="4"/>
      <c r="J125" s="6">
        <v>74</v>
      </c>
      <c r="K125" s="10" t="s">
        <v>52</v>
      </c>
      <c r="L125" s="6">
        <v>0</v>
      </c>
      <c r="M125" s="10" t="s">
        <v>52</v>
      </c>
      <c r="N125" s="7">
        <v>87.1</v>
      </c>
      <c r="O125" s="10" t="s">
        <v>52</v>
      </c>
      <c r="P125" s="8">
        <v>0.1016</v>
      </c>
      <c r="Q125" s="10" t="s">
        <v>52</v>
      </c>
      <c r="R125" s="9">
        <v>3.7099000000000002</v>
      </c>
      <c r="S125" s="10" t="s">
        <v>52</v>
      </c>
      <c r="T125" s="9">
        <v>4.5582000000000003</v>
      </c>
      <c r="U125" s="10" t="s">
        <v>52</v>
      </c>
      <c r="V125">
        <v>12452</v>
      </c>
      <c r="W125" s="14" t="str">
        <f t="shared" si="15"/>
        <v/>
      </c>
      <c r="X125" s="14" t="str">
        <f t="shared" si="16"/>
        <v/>
      </c>
      <c r="Y125" s="15" t="str">
        <f t="shared" si="17"/>
        <v/>
      </c>
      <c r="Z125" s="14" t="str">
        <f t="shared" si="18"/>
        <v/>
      </c>
      <c r="AA125" s="14" t="str">
        <f t="shared" si="19"/>
        <v/>
      </c>
      <c r="AB125" s="14" t="str">
        <f t="shared" si="20"/>
        <v/>
      </c>
      <c r="AC125" s="15" t="str">
        <f t="shared" si="21"/>
        <v/>
      </c>
    </row>
    <row r="126" spans="1:29" x14ac:dyDescent="0.35">
      <c r="A126" s="2" t="s">
        <v>194</v>
      </c>
      <c r="B126" s="2">
        <v>27</v>
      </c>
      <c r="C126" s="2" t="s">
        <v>26</v>
      </c>
      <c r="D126" s="2" t="s">
        <v>27</v>
      </c>
      <c r="E126" s="2" t="s">
        <v>28</v>
      </c>
      <c r="F126" s="2" t="s">
        <v>42</v>
      </c>
      <c r="G126" s="2">
        <v>2019</v>
      </c>
      <c r="H126" s="4">
        <v>43690</v>
      </c>
      <c r="I126" s="4">
        <v>44293</v>
      </c>
      <c r="J126" s="6">
        <v>75</v>
      </c>
      <c r="K126" s="6">
        <v>61</v>
      </c>
      <c r="L126" s="6">
        <v>75</v>
      </c>
      <c r="M126" s="6">
        <v>61</v>
      </c>
      <c r="N126" s="7">
        <v>428.2</v>
      </c>
      <c r="O126" s="7">
        <v>321.2</v>
      </c>
      <c r="P126" s="8">
        <v>0.15640000000000001</v>
      </c>
      <c r="Q126" s="8">
        <v>0.1615</v>
      </c>
      <c r="R126" s="9">
        <v>3.6322000000000001</v>
      </c>
      <c r="S126" s="9">
        <v>4.085</v>
      </c>
      <c r="T126" s="9">
        <v>3.5268999999999999</v>
      </c>
      <c r="U126" s="9">
        <v>4.1599000000000004</v>
      </c>
      <c r="V126">
        <v>11674</v>
      </c>
      <c r="W126" s="14">
        <f t="shared" si="15"/>
        <v>0.45279999999999987</v>
      </c>
      <c r="X126" s="14">
        <f t="shared" si="16"/>
        <v>0.63300000000000045</v>
      </c>
      <c r="Y126" s="15">
        <f t="shared" si="17"/>
        <v>5.0999999999999934E-3</v>
      </c>
      <c r="Z126" s="14">
        <f t="shared" si="18"/>
        <v>321.66666666666669</v>
      </c>
      <c r="AA126" s="14">
        <f t="shared" si="19"/>
        <v>145.65066666666664</v>
      </c>
      <c r="AB126" s="14">
        <f t="shared" si="20"/>
        <v>203.61500000000015</v>
      </c>
      <c r="AC126" s="15">
        <f t="shared" si="21"/>
        <v>1.6404999999999981</v>
      </c>
    </row>
    <row r="127" spans="1:29" x14ac:dyDescent="0.35">
      <c r="A127" s="2" t="s">
        <v>195</v>
      </c>
      <c r="B127" s="2">
        <v>24</v>
      </c>
      <c r="C127" s="2" t="s">
        <v>31</v>
      </c>
      <c r="D127" s="2" t="s">
        <v>27</v>
      </c>
      <c r="E127" s="2" t="s">
        <v>36</v>
      </c>
      <c r="F127" s="2" t="s">
        <v>42</v>
      </c>
      <c r="G127" s="2">
        <v>2019</v>
      </c>
      <c r="H127" s="4">
        <v>43649</v>
      </c>
      <c r="I127" s="4">
        <v>44443</v>
      </c>
      <c r="J127" s="6">
        <v>3</v>
      </c>
      <c r="K127" s="6">
        <v>22</v>
      </c>
      <c r="L127" s="6">
        <v>3</v>
      </c>
      <c r="M127" s="6">
        <v>9</v>
      </c>
      <c r="N127" s="7">
        <v>11.2</v>
      </c>
      <c r="O127" s="7">
        <v>62</v>
      </c>
      <c r="P127" s="8">
        <v>1.7899999999999999E-2</v>
      </c>
      <c r="Q127" s="8">
        <v>3.4099999999999998E-2</v>
      </c>
      <c r="R127" s="9">
        <v>8.4856999999999996</v>
      </c>
      <c r="S127" s="9">
        <v>4.0644999999999998</v>
      </c>
      <c r="T127" s="9">
        <v>5.65</v>
      </c>
      <c r="U127" s="9">
        <v>6.0805999999999996</v>
      </c>
      <c r="V127">
        <v>18510</v>
      </c>
      <c r="W127" s="14">
        <f t="shared" si="15"/>
        <v>-4.4211999999999998</v>
      </c>
      <c r="X127" s="14">
        <f t="shared" si="16"/>
        <v>0.43059999999999921</v>
      </c>
      <c r="Y127" s="15">
        <f t="shared" si="17"/>
        <v>1.6199999999999999E-2</v>
      </c>
      <c r="Z127" s="14">
        <f t="shared" si="18"/>
        <v>11.666666666666666</v>
      </c>
      <c r="AA127" s="14">
        <f t="shared" si="19"/>
        <v>-51.580666666666659</v>
      </c>
      <c r="AB127" s="14">
        <f t="shared" si="20"/>
        <v>5.0236666666666574</v>
      </c>
      <c r="AC127" s="15">
        <f t="shared" si="21"/>
        <v>0.18899999999999997</v>
      </c>
    </row>
    <row r="128" spans="1:29" x14ac:dyDescent="0.35">
      <c r="A128" s="2" t="s">
        <v>196</v>
      </c>
      <c r="B128" s="2">
        <v>22</v>
      </c>
      <c r="C128" s="2" t="s">
        <v>159</v>
      </c>
      <c r="D128" s="2" t="s">
        <v>27</v>
      </c>
      <c r="E128" s="2" t="s">
        <v>28</v>
      </c>
      <c r="F128" s="2" t="s">
        <v>42</v>
      </c>
      <c r="G128" s="2">
        <v>2019</v>
      </c>
      <c r="H128" s="4">
        <v>43642</v>
      </c>
      <c r="I128" s="4">
        <v>44289</v>
      </c>
      <c r="J128" s="6">
        <v>73</v>
      </c>
      <c r="K128" s="6">
        <v>45</v>
      </c>
      <c r="L128" s="6">
        <v>0</v>
      </c>
      <c r="M128" s="6">
        <v>8</v>
      </c>
      <c r="N128" s="7">
        <v>77.2</v>
      </c>
      <c r="O128" s="7">
        <v>71.099999999999994</v>
      </c>
      <c r="P128" s="8">
        <v>7.3700000000000002E-2</v>
      </c>
      <c r="Q128" s="8">
        <v>9.1200000000000003E-2</v>
      </c>
      <c r="R128" s="9">
        <v>3.5922999999999998</v>
      </c>
      <c r="S128" s="9">
        <v>4.9206000000000003</v>
      </c>
      <c r="T128" s="9">
        <v>3.74</v>
      </c>
      <c r="U128" s="9">
        <v>4.17</v>
      </c>
      <c r="V128">
        <v>19618</v>
      </c>
      <c r="W128" s="14">
        <f t="shared" si="15"/>
        <v>1.3283000000000005</v>
      </c>
      <c r="X128" s="14">
        <f t="shared" si="16"/>
        <v>0.42999999999999972</v>
      </c>
      <c r="Y128" s="15">
        <f t="shared" si="17"/>
        <v>1.7500000000000002E-2</v>
      </c>
      <c r="Z128" s="14">
        <f t="shared" si="18"/>
        <v>71.333333333333329</v>
      </c>
      <c r="AA128" s="14">
        <f t="shared" si="19"/>
        <v>94.752066666666693</v>
      </c>
      <c r="AB128" s="14">
        <f t="shared" si="20"/>
        <v>30.673333333333311</v>
      </c>
      <c r="AC128" s="15">
        <f t="shared" si="21"/>
        <v>1.2483333333333333</v>
      </c>
    </row>
    <row r="129" spans="1:29" x14ac:dyDescent="0.35">
      <c r="A129" s="2" t="s">
        <v>197</v>
      </c>
      <c r="B129" s="2">
        <v>25</v>
      </c>
      <c r="C129" s="2" t="s">
        <v>48</v>
      </c>
      <c r="D129" s="2" t="s">
        <v>27</v>
      </c>
      <c r="E129" s="2" t="s">
        <v>28</v>
      </c>
      <c r="F129" s="2" t="s">
        <v>42</v>
      </c>
      <c r="G129" s="2">
        <v>2019</v>
      </c>
      <c r="H129" s="4">
        <v>43641</v>
      </c>
      <c r="I129" s="4">
        <v>44347</v>
      </c>
      <c r="J129" s="6">
        <v>8</v>
      </c>
      <c r="K129" s="6">
        <v>42</v>
      </c>
      <c r="L129" s="6">
        <v>0</v>
      </c>
      <c r="M129" s="6">
        <v>1</v>
      </c>
      <c r="N129" s="7">
        <v>9.1999999999999993</v>
      </c>
      <c r="O129" s="7">
        <v>45.2</v>
      </c>
      <c r="P129" s="8">
        <v>0</v>
      </c>
      <c r="Q129" s="8">
        <v>7.8899999999999998E-2</v>
      </c>
      <c r="R129" s="9">
        <v>7.4482999999999997</v>
      </c>
      <c r="S129" s="9">
        <v>3.1533000000000002</v>
      </c>
      <c r="T129" s="9">
        <v>8.1300000000000008</v>
      </c>
      <c r="U129" s="9">
        <v>4.8193000000000001</v>
      </c>
      <c r="V129">
        <v>17536</v>
      </c>
      <c r="W129" s="14">
        <f t="shared" si="15"/>
        <v>-4.2949999999999999</v>
      </c>
      <c r="X129" s="14">
        <f t="shared" si="16"/>
        <v>-3.3107000000000006</v>
      </c>
      <c r="Y129" s="15">
        <f t="shared" si="17"/>
        <v>7.8899999999999998E-2</v>
      </c>
      <c r="Z129" s="14">
        <f t="shared" si="18"/>
        <v>9.6666666666666661</v>
      </c>
      <c r="AA129" s="14">
        <f t="shared" si="19"/>
        <v>-41.518333333333331</v>
      </c>
      <c r="AB129" s="14">
        <f t="shared" si="20"/>
        <v>-32.003433333333341</v>
      </c>
      <c r="AC129" s="15">
        <f t="shared" si="21"/>
        <v>0.76269999999999993</v>
      </c>
    </row>
    <row r="130" spans="1:29" x14ac:dyDescent="0.35">
      <c r="A130" s="2" t="s">
        <v>198</v>
      </c>
      <c r="B130" s="2">
        <v>26</v>
      </c>
      <c r="C130" s="2" t="s">
        <v>48</v>
      </c>
      <c r="D130" s="2" t="s">
        <v>27</v>
      </c>
      <c r="E130" s="2" t="s">
        <v>36</v>
      </c>
      <c r="F130" s="2" t="s">
        <v>42</v>
      </c>
      <c r="G130" s="2">
        <v>2019</v>
      </c>
      <c r="H130" s="4">
        <v>43600</v>
      </c>
      <c r="I130" s="4">
        <v>44040</v>
      </c>
      <c r="J130" s="6">
        <v>60</v>
      </c>
      <c r="K130" s="6">
        <v>59</v>
      </c>
      <c r="L130" s="6">
        <v>60</v>
      </c>
      <c r="M130" s="6">
        <v>57</v>
      </c>
      <c r="N130" s="7">
        <v>355</v>
      </c>
      <c r="O130" s="7">
        <v>318.10000000000002</v>
      </c>
      <c r="P130" s="8">
        <v>0.12740000000000001</v>
      </c>
      <c r="Q130" s="8">
        <v>0.26350000000000001</v>
      </c>
      <c r="R130" s="9">
        <v>4.1070000000000002</v>
      </c>
      <c r="S130" s="9">
        <v>2.7989999999999999</v>
      </c>
      <c r="T130" s="9">
        <v>4.4622999999999999</v>
      </c>
      <c r="U130" s="9">
        <v>2.4803000000000002</v>
      </c>
      <c r="V130">
        <v>16137</v>
      </c>
      <c r="W130" s="14">
        <f t="shared" si="15"/>
        <v>-1.3080000000000003</v>
      </c>
      <c r="X130" s="14">
        <f t="shared" si="16"/>
        <v>-1.9819999999999998</v>
      </c>
      <c r="Y130" s="15">
        <f t="shared" si="17"/>
        <v>0.1361</v>
      </c>
      <c r="Z130" s="14">
        <f t="shared" ref="Z130:Z160" si="22">IF(AND(ISNUMBER(N130),ISNUMBER(O130),ISNUMBER(P130),ISNUMBER(Q130),ISNUMBER(R130),ISNUMBER(S130),ISNUMBER(T130),ISNUMBER(U130),N130&gt;0,O130&gt;0),MIN((INT(N130)*3+ROUND(MOD(N130,1)*10,0))/3,(INT(O130)*3+ROUND(MOD(O130,1)*10,0))/3),"")</f>
        <v>318.33333333333331</v>
      </c>
      <c r="AA130" s="14">
        <f t="shared" ref="AA130:AA161" si="23">IF(ISNUMBER(Z130),W130*Z130,"")</f>
        <v>-416.38000000000005</v>
      </c>
      <c r="AB130" s="14">
        <f t="shared" ref="AB130:AB160" si="24">IF(ISNUMBER(Z130),X130*Z130,"")</f>
        <v>-630.9366666666665</v>
      </c>
      <c r="AC130" s="15">
        <f t="shared" ref="AC130:AC160" si="25">IF(ISNUMBER(Z130),Y130*Z130,"")</f>
        <v>43.325166666666661</v>
      </c>
    </row>
    <row r="131" spans="1:29" x14ac:dyDescent="0.35">
      <c r="A131" s="2" t="s">
        <v>199</v>
      </c>
      <c r="B131" s="2">
        <v>27</v>
      </c>
      <c r="C131" s="2" t="s">
        <v>124</v>
      </c>
      <c r="D131" s="2" t="s">
        <v>27</v>
      </c>
      <c r="E131" s="2" t="s">
        <v>28</v>
      </c>
      <c r="F131" s="2" t="s">
        <v>42</v>
      </c>
      <c r="G131" s="2">
        <v>2019</v>
      </c>
      <c r="H131" s="4">
        <v>43558</v>
      </c>
      <c r="I131" s="4">
        <v>44036</v>
      </c>
      <c r="J131" s="6">
        <v>168</v>
      </c>
      <c r="K131" s="6">
        <v>88</v>
      </c>
      <c r="L131" s="6">
        <v>0</v>
      </c>
      <c r="M131" s="6">
        <v>4</v>
      </c>
      <c r="N131" s="7">
        <v>164</v>
      </c>
      <c r="O131" s="7">
        <v>83.2</v>
      </c>
      <c r="P131" s="8">
        <v>0.25700000000000001</v>
      </c>
      <c r="Q131" s="8">
        <v>0.1148</v>
      </c>
      <c r="R131" s="9">
        <v>2.9634</v>
      </c>
      <c r="S131" s="9">
        <v>3.5497999999999998</v>
      </c>
      <c r="T131" s="9">
        <v>2.9058999999999999</v>
      </c>
      <c r="U131" s="9">
        <v>4.3288000000000002</v>
      </c>
      <c r="V131">
        <v>15010</v>
      </c>
      <c r="W131" s="14">
        <f t="shared" ref="W131:W159" si="26">IF(AND(ISNUMBER(N131),ISNUMBER(O131),ISNUMBER(P131),ISNUMBER(Q131),ISNUMBER(R131),ISNUMBER(S131),ISNUMBER(T131),ISNUMBER(U131),N131&gt;0,O131&gt;0),S131-R131,"")</f>
        <v>0.58639999999999981</v>
      </c>
      <c r="X131" s="14">
        <f t="shared" ref="X131:X159" si="27">IF(AND(ISNUMBER(N131),ISNUMBER(O131),ISNUMBER(P131),ISNUMBER(Q131),ISNUMBER(R131),ISNUMBER(S131),ISNUMBER(T131),ISNUMBER(U131),N131&gt;0,O131&gt;0),U131-T131,"")</f>
        <v>1.4229000000000003</v>
      </c>
      <c r="Y131" s="15">
        <f t="shared" ref="Y131:Y159" si="28">IF(AND(ISNUMBER(N131),ISNUMBER(O131),ISNUMBER(P131),ISNUMBER(Q131),ISNUMBER(R131),ISNUMBER(S131),ISNUMBER(T131),ISNUMBER(U131),N131&gt;0,O131&gt;0),Q131-P131,"")</f>
        <v>-0.14219999999999999</v>
      </c>
      <c r="Z131" s="14">
        <f t="shared" si="22"/>
        <v>83.666666666666671</v>
      </c>
      <c r="AA131" s="14">
        <f t="shared" si="23"/>
        <v>49.062133333333321</v>
      </c>
      <c r="AB131" s="14">
        <f t="shared" si="24"/>
        <v>119.04930000000003</v>
      </c>
      <c r="AC131" s="15">
        <f t="shared" si="25"/>
        <v>-11.897399999999999</v>
      </c>
    </row>
    <row r="132" spans="1:29" x14ac:dyDescent="0.35">
      <c r="A132" s="2" t="s">
        <v>200</v>
      </c>
      <c r="B132" s="2">
        <v>26</v>
      </c>
      <c r="C132" s="2" t="s">
        <v>66</v>
      </c>
      <c r="D132" s="2" t="s">
        <v>27</v>
      </c>
      <c r="E132" s="2" t="s">
        <v>28</v>
      </c>
      <c r="F132" s="2" t="s">
        <v>42</v>
      </c>
      <c r="G132" s="2">
        <v>2019</v>
      </c>
      <c r="H132" s="4">
        <v>43551</v>
      </c>
      <c r="I132" s="4">
        <v>44039</v>
      </c>
      <c r="J132" s="6">
        <v>75</v>
      </c>
      <c r="K132" s="6">
        <v>129</v>
      </c>
      <c r="L132" s="6">
        <v>75</v>
      </c>
      <c r="M132" s="6">
        <v>14</v>
      </c>
      <c r="N132" s="7">
        <v>456</v>
      </c>
      <c r="O132" s="7">
        <v>161</v>
      </c>
      <c r="P132" s="8">
        <v>0.1212</v>
      </c>
      <c r="Q132" s="8">
        <v>0.1326</v>
      </c>
      <c r="R132" s="9">
        <v>3.8092000000000001</v>
      </c>
      <c r="S132" s="9">
        <v>4.1365999999999996</v>
      </c>
      <c r="T132" s="9">
        <v>3.9481000000000002</v>
      </c>
      <c r="U132" s="9">
        <v>4.0964</v>
      </c>
      <c r="V132">
        <v>13218</v>
      </c>
      <c r="W132" s="14">
        <f t="shared" si="26"/>
        <v>0.32739999999999947</v>
      </c>
      <c r="X132" s="14">
        <f t="shared" si="27"/>
        <v>0.14829999999999988</v>
      </c>
      <c r="Y132" s="15">
        <f t="shared" si="28"/>
        <v>1.1399999999999993E-2</v>
      </c>
      <c r="Z132" s="14">
        <f t="shared" si="22"/>
        <v>161</v>
      </c>
      <c r="AA132" s="14">
        <f t="shared" si="23"/>
        <v>52.711399999999912</v>
      </c>
      <c r="AB132" s="14">
        <f t="shared" si="24"/>
        <v>23.876299999999979</v>
      </c>
      <c r="AC132" s="15">
        <f t="shared" si="25"/>
        <v>1.835399999999999</v>
      </c>
    </row>
    <row r="133" spans="1:29" x14ac:dyDescent="0.35">
      <c r="A133" s="2" t="s">
        <v>201</v>
      </c>
      <c r="B133" s="2">
        <v>26</v>
      </c>
      <c r="C133" s="2" t="s">
        <v>41</v>
      </c>
      <c r="D133" s="2" t="s">
        <v>27</v>
      </c>
      <c r="E133" s="2" t="s">
        <v>28</v>
      </c>
      <c r="F133" s="2" t="s">
        <v>55</v>
      </c>
      <c r="G133" s="2">
        <v>2019</v>
      </c>
      <c r="H133" s="4">
        <v>43537</v>
      </c>
      <c r="I133" s="4">
        <v>44100</v>
      </c>
      <c r="J133" s="6">
        <v>78</v>
      </c>
      <c r="K133" s="6">
        <v>4</v>
      </c>
      <c r="L133" s="6">
        <v>0</v>
      </c>
      <c r="M133" s="6">
        <v>0</v>
      </c>
      <c r="N133" s="7">
        <v>76.099999999999994</v>
      </c>
      <c r="O133" s="7">
        <v>5.0999999999999996</v>
      </c>
      <c r="P133" s="8">
        <v>0.14030000000000001</v>
      </c>
      <c r="Q133" s="8">
        <v>0.1739</v>
      </c>
      <c r="R133" s="9">
        <v>5.1878000000000002</v>
      </c>
      <c r="S133" s="9">
        <v>8.4375</v>
      </c>
      <c r="T133" s="9">
        <v>4.9255000000000004</v>
      </c>
      <c r="U133" s="9">
        <v>9.6888000000000005</v>
      </c>
      <c r="V133">
        <v>15051</v>
      </c>
      <c r="W133" s="14">
        <f t="shared" si="26"/>
        <v>3.2496999999999998</v>
      </c>
      <c r="X133" s="14">
        <f t="shared" si="27"/>
        <v>4.7633000000000001</v>
      </c>
      <c r="Y133" s="15">
        <f t="shared" si="28"/>
        <v>3.3599999999999991E-2</v>
      </c>
      <c r="Z133" s="14">
        <f t="shared" si="22"/>
        <v>5.333333333333333</v>
      </c>
      <c r="AA133" s="14">
        <f t="shared" si="23"/>
        <v>17.331733333333332</v>
      </c>
      <c r="AB133" s="14">
        <f t="shared" si="24"/>
        <v>25.404266666666665</v>
      </c>
      <c r="AC133" s="15">
        <f t="shared" si="25"/>
        <v>0.17919999999999994</v>
      </c>
    </row>
    <row r="134" spans="1:29" x14ac:dyDescent="0.35">
      <c r="A134" s="2" t="s">
        <v>202</v>
      </c>
      <c r="B134" s="2">
        <v>25</v>
      </c>
      <c r="C134" s="2" t="s">
        <v>114</v>
      </c>
      <c r="D134" s="2" t="s">
        <v>27</v>
      </c>
      <c r="E134" s="2" t="s">
        <v>28</v>
      </c>
      <c r="F134" s="2" t="s">
        <v>42</v>
      </c>
      <c r="G134" s="2">
        <v>2019</v>
      </c>
      <c r="H134" s="4">
        <v>43536</v>
      </c>
      <c r="I134" s="4">
        <v>44037</v>
      </c>
      <c r="J134" s="6">
        <v>27</v>
      </c>
      <c r="K134" s="6">
        <v>83</v>
      </c>
      <c r="L134" s="6">
        <v>0</v>
      </c>
      <c r="M134" s="6">
        <v>1</v>
      </c>
      <c r="N134" s="7">
        <v>28</v>
      </c>
      <c r="O134" s="7">
        <v>94.1</v>
      </c>
      <c r="P134" s="8">
        <v>0.1</v>
      </c>
      <c r="Q134" s="8">
        <v>0.17849999999999999</v>
      </c>
      <c r="R134" s="9">
        <v>3.5356999999999998</v>
      </c>
      <c r="S134" s="9">
        <v>3.1484000000000001</v>
      </c>
      <c r="T134" s="9">
        <v>3.66</v>
      </c>
      <c r="U134" s="9">
        <v>4.5938999999999997</v>
      </c>
      <c r="V134">
        <v>17755</v>
      </c>
      <c r="W134" s="14">
        <f t="shared" si="26"/>
        <v>-0.38729999999999976</v>
      </c>
      <c r="X134" s="14">
        <f t="shared" si="27"/>
        <v>0.93389999999999951</v>
      </c>
      <c r="Y134" s="15">
        <f t="shared" si="28"/>
        <v>7.8499999999999986E-2</v>
      </c>
      <c r="Z134" s="14">
        <f t="shared" si="22"/>
        <v>28</v>
      </c>
      <c r="AA134" s="14">
        <f t="shared" si="23"/>
        <v>-10.844399999999993</v>
      </c>
      <c r="AB134" s="14">
        <f t="shared" si="24"/>
        <v>26.149199999999986</v>
      </c>
      <c r="AC134" s="15">
        <f t="shared" si="25"/>
        <v>2.1979999999999995</v>
      </c>
    </row>
    <row r="135" spans="1:29" x14ac:dyDescent="0.35">
      <c r="A135" s="2" t="s">
        <v>203</v>
      </c>
      <c r="B135" s="2">
        <v>28</v>
      </c>
      <c r="C135" s="2" t="s">
        <v>107</v>
      </c>
      <c r="D135" s="2" t="s">
        <v>27</v>
      </c>
      <c r="E135" s="2" t="s">
        <v>28</v>
      </c>
      <c r="F135" s="2" t="s">
        <v>42</v>
      </c>
      <c r="G135" s="2">
        <v>2019</v>
      </c>
      <c r="H135" s="4">
        <v>43536</v>
      </c>
      <c r="I135" s="4">
        <v>44667</v>
      </c>
      <c r="J135" s="6">
        <v>47</v>
      </c>
      <c r="K135" s="6">
        <v>35</v>
      </c>
      <c r="L135" s="6">
        <v>11</v>
      </c>
      <c r="M135" s="6">
        <v>4</v>
      </c>
      <c r="N135" s="7">
        <v>114</v>
      </c>
      <c r="O135" s="7">
        <v>67.2</v>
      </c>
      <c r="P135" s="8">
        <v>0.1216</v>
      </c>
      <c r="Q135" s="8">
        <v>0.17019999999999999</v>
      </c>
      <c r="R135" s="9">
        <v>5.5263</v>
      </c>
      <c r="S135" s="9">
        <v>3.9901</v>
      </c>
      <c r="T135" s="9">
        <v>5.5145999999999997</v>
      </c>
      <c r="U135" s="9">
        <v>4.29</v>
      </c>
      <c r="V135">
        <v>15551</v>
      </c>
      <c r="W135" s="14">
        <f t="shared" si="26"/>
        <v>-1.5362</v>
      </c>
      <c r="X135" s="14">
        <f t="shared" si="27"/>
        <v>-1.2245999999999997</v>
      </c>
      <c r="Y135" s="15">
        <f t="shared" si="28"/>
        <v>4.859999999999999E-2</v>
      </c>
      <c r="Z135" s="14">
        <f t="shared" si="22"/>
        <v>67.666666666666671</v>
      </c>
      <c r="AA135" s="14">
        <f t="shared" si="23"/>
        <v>-103.94953333333333</v>
      </c>
      <c r="AB135" s="14">
        <f t="shared" si="24"/>
        <v>-82.864599999999982</v>
      </c>
      <c r="AC135" s="15">
        <f t="shared" si="25"/>
        <v>3.2885999999999997</v>
      </c>
    </row>
    <row r="136" spans="1:29" x14ac:dyDescent="0.35">
      <c r="A136" s="2" t="s">
        <v>204</v>
      </c>
      <c r="B136" s="2">
        <v>24</v>
      </c>
      <c r="C136" s="2" t="s">
        <v>72</v>
      </c>
      <c r="D136" s="2" t="s">
        <v>27</v>
      </c>
      <c r="E136" s="2" t="s">
        <v>28</v>
      </c>
      <c r="F136" s="2" t="s">
        <v>42</v>
      </c>
      <c r="G136" s="2">
        <v>2018</v>
      </c>
      <c r="H136" s="4">
        <v>43410</v>
      </c>
      <c r="I136" s="4">
        <v>44037</v>
      </c>
      <c r="J136" s="6">
        <v>58</v>
      </c>
      <c r="K136" s="6">
        <v>39</v>
      </c>
      <c r="L136" s="6">
        <v>58</v>
      </c>
      <c r="M136" s="6">
        <v>39</v>
      </c>
      <c r="N136" s="7">
        <v>325.10000000000002</v>
      </c>
      <c r="O136" s="7">
        <v>217.1</v>
      </c>
      <c r="P136" s="8">
        <v>0.17269999999999999</v>
      </c>
      <c r="Q136" s="8">
        <v>0.15920000000000001</v>
      </c>
      <c r="R136" s="9">
        <v>3.5962999999999998</v>
      </c>
      <c r="S136" s="9">
        <v>3.3542999999999998</v>
      </c>
      <c r="T136" s="9">
        <v>3.1368999999999998</v>
      </c>
      <c r="U136" s="9">
        <v>3.5655999999999999</v>
      </c>
      <c r="V136">
        <v>14120</v>
      </c>
      <c r="W136" s="14">
        <f t="shared" si="26"/>
        <v>-0.24199999999999999</v>
      </c>
      <c r="X136" s="14">
        <f t="shared" si="27"/>
        <v>0.42870000000000008</v>
      </c>
      <c r="Y136" s="15">
        <f t="shared" si="28"/>
        <v>-1.3499999999999984E-2</v>
      </c>
      <c r="Z136" s="14">
        <f t="shared" si="22"/>
        <v>217.33333333333334</v>
      </c>
      <c r="AA136" s="14">
        <f t="shared" si="23"/>
        <v>-52.594666666666669</v>
      </c>
      <c r="AB136" s="14">
        <f t="shared" si="24"/>
        <v>93.170800000000028</v>
      </c>
      <c r="AC136" s="15">
        <f t="shared" si="25"/>
        <v>-2.9339999999999966</v>
      </c>
    </row>
    <row r="137" spans="1:29" x14ac:dyDescent="0.35">
      <c r="A137" s="2" t="s">
        <v>205</v>
      </c>
      <c r="B137" s="2">
        <v>26</v>
      </c>
      <c r="C137" s="2" t="s">
        <v>26</v>
      </c>
      <c r="D137" s="2" t="s">
        <v>27</v>
      </c>
      <c r="E137" s="2" t="s">
        <v>28</v>
      </c>
      <c r="F137" s="2" t="s">
        <v>32</v>
      </c>
      <c r="G137" s="2">
        <v>2018</v>
      </c>
      <c r="H137" s="4">
        <v>43377</v>
      </c>
      <c r="I137" s="4">
        <v>44316</v>
      </c>
      <c r="J137" s="6">
        <v>19</v>
      </c>
      <c r="K137" s="6">
        <v>41</v>
      </c>
      <c r="L137" s="6">
        <v>0</v>
      </c>
      <c r="M137" s="6">
        <v>0</v>
      </c>
      <c r="N137" s="7">
        <v>18</v>
      </c>
      <c r="O137" s="7">
        <v>42.2</v>
      </c>
      <c r="P137" s="8">
        <v>9.8799999999999999E-2</v>
      </c>
      <c r="Q137" s="8">
        <v>0.12</v>
      </c>
      <c r="R137" s="9">
        <v>3.5</v>
      </c>
      <c r="S137" s="9">
        <v>3.5859000000000001</v>
      </c>
      <c r="T137" s="9">
        <v>4.55</v>
      </c>
      <c r="U137" s="9">
        <v>4.5999999999999996</v>
      </c>
      <c r="V137">
        <v>17355</v>
      </c>
      <c r="W137" s="14">
        <f t="shared" si="26"/>
        <v>8.5900000000000087E-2</v>
      </c>
      <c r="X137" s="14">
        <f t="shared" si="27"/>
        <v>4.9999999999999822E-2</v>
      </c>
      <c r="Y137" s="15">
        <f t="shared" si="28"/>
        <v>2.1199999999999997E-2</v>
      </c>
      <c r="Z137" s="14">
        <f t="shared" si="22"/>
        <v>18</v>
      </c>
      <c r="AA137" s="14">
        <f t="shared" si="23"/>
        <v>1.5462000000000016</v>
      </c>
      <c r="AB137" s="14">
        <f t="shared" si="24"/>
        <v>0.8999999999999968</v>
      </c>
      <c r="AC137" s="15">
        <f t="shared" si="25"/>
        <v>0.38159999999999994</v>
      </c>
    </row>
    <row r="138" spans="1:29" x14ac:dyDescent="0.35">
      <c r="A138" s="2" t="s">
        <v>206</v>
      </c>
      <c r="B138" s="2">
        <v>27</v>
      </c>
      <c r="C138" s="2" t="s">
        <v>82</v>
      </c>
      <c r="D138" s="2" t="s">
        <v>27</v>
      </c>
      <c r="E138" s="2" t="s">
        <v>36</v>
      </c>
      <c r="F138" s="2" t="s">
        <v>42</v>
      </c>
      <c r="G138" s="2">
        <v>2018</v>
      </c>
      <c r="H138" s="4">
        <v>43376</v>
      </c>
      <c r="I138" s="4"/>
      <c r="J138" s="2"/>
      <c r="K138" s="10" t="s">
        <v>52</v>
      </c>
      <c r="L138" s="2"/>
      <c r="M138" s="10" t="s">
        <v>52</v>
      </c>
      <c r="N138" s="2"/>
      <c r="O138" s="10" t="s">
        <v>52</v>
      </c>
      <c r="P138" s="2"/>
      <c r="Q138" s="10" t="s">
        <v>52</v>
      </c>
      <c r="R138" s="2"/>
      <c r="S138" s="10" t="s">
        <v>52</v>
      </c>
      <c r="T138" s="2"/>
      <c r="U138" s="10" t="s">
        <v>52</v>
      </c>
      <c r="V138">
        <v>17126</v>
      </c>
      <c r="W138" s="14" t="str">
        <f t="shared" si="26"/>
        <v/>
      </c>
      <c r="X138" s="14" t="str">
        <f t="shared" si="27"/>
        <v/>
      </c>
      <c r="Y138" s="15" t="str">
        <f t="shared" si="28"/>
        <v/>
      </c>
      <c r="Z138" s="14" t="str">
        <f t="shared" si="22"/>
        <v/>
      </c>
      <c r="AA138" s="14" t="str">
        <f t="shared" si="23"/>
        <v/>
      </c>
      <c r="AB138" s="14" t="str">
        <f t="shared" si="24"/>
        <v/>
      </c>
      <c r="AC138" s="15" t="str">
        <f t="shared" si="25"/>
        <v/>
      </c>
    </row>
    <row r="139" spans="1:29" x14ac:dyDescent="0.35">
      <c r="A139" s="2" t="s">
        <v>37</v>
      </c>
      <c r="B139" s="2">
        <v>23</v>
      </c>
      <c r="C139" s="2" t="s">
        <v>38</v>
      </c>
      <c r="D139" s="2" t="s">
        <v>27</v>
      </c>
      <c r="E139" s="2" t="s">
        <v>28</v>
      </c>
      <c r="F139" s="2" t="s">
        <v>39</v>
      </c>
      <c r="G139" s="2">
        <v>2018</v>
      </c>
      <c r="H139" s="4">
        <v>43374</v>
      </c>
      <c r="I139" s="4">
        <v>44038</v>
      </c>
      <c r="J139" s="2"/>
      <c r="K139" s="6">
        <v>25</v>
      </c>
      <c r="L139" s="2"/>
      <c r="M139" s="6">
        <v>25</v>
      </c>
      <c r="N139" s="2"/>
      <c r="O139" s="7">
        <v>132</v>
      </c>
      <c r="P139" s="2"/>
      <c r="Q139" s="8">
        <v>0.19489999999999999</v>
      </c>
      <c r="R139" s="2"/>
      <c r="S139" s="9">
        <v>3.6135999999999999</v>
      </c>
      <c r="T139" s="2"/>
      <c r="U139" s="9">
        <v>3.6522000000000001</v>
      </c>
      <c r="V139">
        <v>19755</v>
      </c>
      <c r="W139" s="14" t="str">
        <f t="shared" si="26"/>
        <v/>
      </c>
      <c r="X139" s="14" t="str">
        <f t="shared" si="27"/>
        <v/>
      </c>
      <c r="Y139" s="15" t="str">
        <f t="shared" si="28"/>
        <v/>
      </c>
      <c r="Z139" s="14" t="str">
        <f t="shared" si="22"/>
        <v/>
      </c>
      <c r="AA139" s="14" t="str">
        <f t="shared" si="23"/>
        <v/>
      </c>
      <c r="AB139" s="14" t="str">
        <f t="shared" si="24"/>
        <v/>
      </c>
      <c r="AC139" s="15" t="str">
        <f t="shared" si="25"/>
        <v/>
      </c>
    </row>
    <row r="140" spans="1:29" x14ac:dyDescent="0.35">
      <c r="A140" s="2" t="s">
        <v>207</v>
      </c>
      <c r="B140" s="2">
        <v>25</v>
      </c>
      <c r="C140" s="2" t="s">
        <v>26</v>
      </c>
      <c r="D140" s="2" t="s">
        <v>27</v>
      </c>
      <c r="E140" s="2" t="s">
        <v>28</v>
      </c>
      <c r="F140" s="2" t="s">
        <v>42</v>
      </c>
      <c r="G140" s="2">
        <v>2018</v>
      </c>
      <c r="H140" s="4">
        <v>43362</v>
      </c>
      <c r="I140" s="4">
        <v>44039</v>
      </c>
      <c r="J140" s="6">
        <v>45</v>
      </c>
      <c r="K140" s="6">
        <v>39</v>
      </c>
      <c r="L140" s="6">
        <v>45</v>
      </c>
      <c r="M140" s="6">
        <v>23</v>
      </c>
      <c r="N140" s="7">
        <v>228</v>
      </c>
      <c r="O140" s="7">
        <v>126.2</v>
      </c>
      <c r="P140" s="8">
        <v>0.105</v>
      </c>
      <c r="Q140" s="8">
        <v>8.9700000000000002E-2</v>
      </c>
      <c r="R140" s="9">
        <v>4.3026</v>
      </c>
      <c r="S140" s="9">
        <v>4.6184000000000003</v>
      </c>
      <c r="T140" s="9">
        <v>4.1501000000000001</v>
      </c>
      <c r="U140" s="9">
        <v>5.3722000000000003</v>
      </c>
      <c r="V140">
        <v>14975</v>
      </c>
      <c r="W140" s="14">
        <f t="shared" si="26"/>
        <v>0.3158000000000003</v>
      </c>
      <c r="X140" s="14">
        <f t="shared" si="27"/>
        <v>1.2221000000000002</v>
      </c>
      <c r="Y140" s="15">
        <f t="shared" si="28"/>
        <v>-1.5299999999999994E-2</v>
      </c>
      <c r="Z140" s="14">
        <f t="shared" si="22"/>
        <v>126.66666666666667</v>
      </c>
      <c r="AA140" s="14">
        <f t="shared" si="23"/>
        <v>40.00133333333337</v>
      </c>
      <c r="AB140" s="14">
        <f t="shared" si="24"/>
        <v>154.79933333333335</v>
      </c>
      <c r="AC140" s="15">
        <f t="shared" si="25"/>
        <v>-1.9379999999999993</v>
      </c>
    </row>
    <row r="141" spans="1:29" x14ac:dyDescent="0.35">
      <c r="A141" s="2" t="s">
        <v>208</v>
      </c>
      <c r="B141" s="2">
        <v>22</v>
      </c>
      <c r="C141" s="2" t="s">
        <v>48</v>
      </c>
      <c r="D141" s="2" t="s">
        <v>27</v>
      </c>
      <c r="E141" s="2" t="s">
        <v>28</v>
      </c>
      <c r="F141" s="2" t="s">
        <v>42</v>
      </c>
      <c r="G141" s="2">
        <v>2018</v>
      </c>
      <c r="H141" s="4">
        <v>43361</v>
      </c>
      <c r="I141" s="4">
        <v>44288</v>
      </c>
      <c r="J141" s="2"/>
      <c r="K141" s="6">
        <v>44</v>
      </c>
      <c r="L141" s="2"/>
      <c r="M141" s="6">
        <v>4</v>
      </c>
      <c r="N141" s="2"/>
      <c r="O141" s="7">
        <v>69.099999999999994</v>
      </c>
      <c r="P141" s="2"/>
      <c r="Q141" s="8">
        <v>0.2772</v>
      </c>
      <c r="R141" s="2"/>
      <c r="S141" s="9">
        <v>3.5047999999999999</v>
      </c>
      <c r="T141" s="2"/>
      <c r="U141" s="9">
        <v>2.97</v>
      </c>
      <c r="V141">
        <v>17282</v>
      </c>
      <c r="W141" s="14" t="str">
        <f t="shared" si="26"/>
        <v/>
      </c>
      <c r="X141" s="14" t="str">
        <f t="shared" si="27"/>
        <v/>
      </c>
      <c r="Y141" s="15" t="str">
        <f t="shared" si="28"/>
        <v/>
      </c>
      <c r="Z141" s="14" t="str">
        <f t="shared" si="22"/>
        <v/>
      </c>
      <c r="AA141" s="14" t="str">
        <f t="shared" si="23"/>
        <v/>
      </c>
      <c r="AB141" s="14" t="str">
        <f t="shared" si="24"/>
        <v/>
      </c>
      <c r="AC141" s="15" t="str">
        <f t="shared" si="25"/>
        <v/>
      </c>
    </row>
    <row r="142" spans="1:29" x14ac:dyDescent="0.35">
      <c r="A142" s="2" t="s">
        <v>209</v>
      </c>
      <c r="B142" s="2">
        <v>26</v>
      </c>
      <c r="C142" s="2" t="s">
        <v>66</v>
      </c>
      <c r="D142" s="2" t="s">
        <v>27</v>
      </c>
      <c r="E142" s="2" t="s">
        <v>28</v>
      </c>
      <c r="F142" s="2" t="s">
        <v>42</v>
      </c>
      <c r="G142" s="2">
        <v>2018</v>
      </c>
      <c r="H142" s="4">
        <v>43343</v>
      </c>
      <c r="I142" s="4">
        <v>44077</v>
      </c>
      <c r="J142" s="6">
        <v>4</v>
      </c>
      <c r="K142" s="6">
        <v>2</v>
      </c>
      <c r="L142" s="6">
        <v>1</v>
      </c>
      <c r="M142" s="6">
        <v>0</v>
      </c>
      <c r="N142" s="7">
        <v>10.1</v>
      </c>
      <c r="O142" s="7">
        <v>3.1</v>
      </c>
      <c r="P142" s="8">
        <v>3.85E-2</v>
      </c>
      <c r="Q142" s="8">
        <v>0.22220000000000001</v>
      </c>
      <c r="R142" s="9">
        <v>6.0968</v>
      </c>
      <c r="S142" s="9">
        <v>5.4</v>
      </c>
      <c r="T142" s="9">
        <v>4.42</v>
      </c>
      <c r="U142" s="9">
        <v>1.0900000000000001</v>
      </c>
      <c r="V142">
        <v>16731</v>
      </c>
      <c r="W142" s="14">
        <f t="shared" si="26"/>
        <v>-0.69679999999999964</v>
      </c>
      <c r="X142" s="14">
        <f t="shared" si="27"/>
        <v>-3.33</v>
      </c>
      <c r="Y142" s="15">
        <f t="shared" si="28"/>
        <v>0.1837</v>
      </c>
      <c r="Z142" s="14">
        <f t="shared" si="22"/>
        <v>3.3333333333333335</v>
      </c>
      <c r="AA142" s="14">
        <f t="shared" si="23"/>
        <v>-2.3226666666666658</v>
      </c>
      <c r="AB142" s="14">
        <f t="shared" si="24"/>
        <v>-11.100000000000001</v>
      </c>
      <c r="AC142" s="15">
        <f t="shared" si="25"/>
        <v>0.6123333333333334</v>
      </c>
    </row>
    <row r="143" spans="1:29" x14ac:dyDescent="0.35">
      <c r="A143" s="2" t="s">
        <v>210</v>
      </c>
      <c r="B143" s="2">
        <v>32</v>
      </c>
      <c r="C143" s="2" t="s">
        <v>147</v>
      </c>
      <c r="D143" s="2" t="s">
        <v>27</v>
      </c>
      <c r="E143" s="2" t="s">
        <v>28</v>
      </c>
      <c r="F143" s="2" t="s">
        <v>32</v>
      </c>
      <c r="G143" s="2">
        <v>2018</v>
      </c>
      <c r="H143" s="4">
        <v>43314</v>
      </c>
      <c r="I143" s="4">
        <v>43718</v>
      </c>
      <c r="J143" s="6">
        <v>89</v>
      </c>
      <c r="K143" s="6">
        <v>38</v>
      </c>
      <c r="L143" s="6">
        <v>89</v>
      </c>
      <c r="M143" s="6">
        <v>37</v>
      </c>
      <c r="N143" s="7">
        <v>579</v>
      </c>
      <c r="O143" s="7">
        <v>194</v>
      </c>
      <c r="P143" s="8">
        <v>0.15279999999999999</v>
      </c>
      <c r="Q143" s="8">
        <v>0.12230000000000001</v>
      </c>
      <c r="R143" s="9">
        <v>3.4662999999999999</v>
      </c>
      <c r="S143" s="9">
        <v>4.5928000000000004</v>
      </c>
      <c r="T143" s="9">
        <v>3.5568</v>
      </c>
      <c r="U143" s="9">
        <v>4.3795000000000002</v>
      </c>
      <c r="V143">
        <v>6893</v>
      </c>
      <c r="W143" s="14">
        <f t="shared" si="26"/>
        <v>1.1265000000000005</v>
      </c>
      <c r="X143" s="14">
        <f t="shared" si="27"/>
        <v>0.82270000000000021</v>
      </c>
      <c r="Y143" s="15">
        <f t="shared" si="28"/>
        <v>-3.0499999999999985E-2</v>
      </c>
      <c r="Z143" s="14">
        <f t="shared" si="22"/>
        <v>194</v>
      </c>
      <c r="AA143" s="14">
        <f t="shared" si="23"/>
        <v>218.54100000000011</v>
      </c>
      <c r="AB143" s="14">
        <f t="shared" si="24"/>
        <v>159.60380000000004</v>
      </c>
      <c r="AC143" s="15">
        <f t="shared" si="25"/>
        <v>-5.9169999999999972</v>
      </c>
    </row>
    <row r="144" spans="1:29" x14ac:dyDescent="0.35">
      <c r="A144" s="2" t="s">
        <v>211</v>
      </c>
      <c r="B144" s="2">
        <v>25</v>
      </c>
      <c r="C144" s="2" t="s">
        <v>94</v>
      </c>
      <c r="D144" s="2" t="s">
        <v>27</v>
      </c>
      <c r="E144" s="2" t="s">
        <v>28</v>
      </c>
      <c r="F144" s="2" t="s">
        <v>42</v>
      </c>
      <c r="G144" s="2">
        <v>2018</v>
      </c>
      <c r="H144" s="4">
        <v>43313</v>
      </c>
      <c r="I144" s="4"/>
      <c r="J144" s="6">
        <v>18</v>
      </c>
      <c r="K144" s="10" t="s">
        <v>52</v>
      </c>
      <c r="L144" s="6">
        <v>18</v>
      </c>
      <c r="M144" s="10" t="s">
        <v>52</v>
      </c>
      <c r="N144" s="7">
        <v>91.1</v>
      </c>
      <c r="O144" s="10" t="s">
        <v>52</v>
      </c>
      <c r="P144" s="8">
        <v>9.9000000000000005E-2</v>
      </c>
      <c r="Q144" s="10" t="s">
        <v>52</v>
      </c>
      <c r="R144" s="9">
        <v>6.1094999999999997</v>
      </c>
      <c r="S144" s="10" t="s">
        <v>52</v>
      </c>
      <c r="T144" s="9">
        <v>5.59</v>
      </c>
      <c r="U144" s="10" t="s">
        <v>52</v>
      </c>
      <c r="V144">
        <v>16164</v>
      </c>
      <c r="W144" s="14" t="str">
        <f t="shared" si="26"/>
        <v/>
      </c>
      <c r="X144" s="14" t="str">
        <f t="shared" si="27"/>
        <v/>
      </c>
      <c r="Y144" s="15" t="str">
        <f t="shared" si="28"/>
        <v/>
      </c>
      <c r="Z144" s="14" t="str">
        <f t="shared" si="22"/>
        <v/>
      </c>
      <c r="AA144" s="14" t="str">
        <f t="shared" si="23"/>
        <v/>
      </c>
      <c r="AB144" s="14" t="str">
        <f t="shared" si="24"/>
        <v/>
      </c>
      <c r="AC144" s="15" t="str">
        <f t="shared" si="25"/>
        <v/>
      </c>
    </row>
    <row r="145" spans="1:29" x14ac:dyDescent="0.35">
      <c r="A145" s="2" t="s">
        <v>212</v>
      </c>
      <c r="B145" s="2">
        <v>28</v>
      </c>
      <c r="C145" s="2" t="s">
        <v>124</v>
      </c>
      <c r="D145" s="2" t="s">
        <v>27</v>
      </c>
      <c r="E145" s="2" t="s">
        <v>36</v>
      </c>
      <c r="F145" s="2" t="s">
        <v>42</v>
      </c>
      <c r="G145" s="2">
        <v>2018</v>
      </c>
      <c r="H145" s="4">
        <v>43312</v>
      </c>
      <c r="I145" s="4">
        <v>43710</v>
      </c>
      <c r="J145" s="6">
        <v>36</v>
      </c>
      <c r="K145" s="6">
        <v>86</v>
      </c>
      <c r="L145" s="6">
        <v>16</v>
      </c>
      <c r="M145" s="6">
        <v>5</v>
      </c>
      <c r="N145" s="7">
        <v>103.1</v>
      </c>
      <c r="O145" s="7">
        <v>123.1</v>
      </c>
      <c r="P145" s="8">
        <v>0.12039999999999999</v>
      </c>
      <c r="Q145" s="8">
        <v>0.18149999999999999</v>
      </c>
      <c r="R145" s="9">
        <v>3.3967999999999998</v>
      </c>
      <c r="S145" s="9">
        <v>2.7</v>
      </c>
      <c r="T145" s="9">
        <v>3.8841999999999999</v>
      </c>
      <c r="U145" s="9">
        <v>3.4592999999999998</v>
      </c>
      <c r="V145">
        <v>13942</v>
      </c>
      <c r="W145" s="14">
        <f t="shared" si="26"/>
        <v>-0.69679999999999964</v>
      </c>
      <c r="X145" s="14">
        <f t="shared" si="27"/>
        <v>-0.42490000000000006</v>
      </c>
      <c r="Y145" s="15">
        <f t="shared" si="28"/>
        <v>6.1100000000000002E-2</v>
      </c>
      <c r="Z145" s="14">
        <f t="shared" si="22"/>
        <v>103.33333333333333</v>
      </c>
      <c r="AA145" s="14">
        <f t="shared" si="23"/>
        <v>-72.002666666666627</v>
      </c>
      <c r="AB145" s="14">
        <f t="shared" si="24"/>
        <v>-43.906333333333336</v>
      </c>
      <c r="AC145" s="15">
        <f t="shared" si="25"/>
        <v>6.3136666666666663</v>
      </c>
    </row>
    <row r="146" spans="1:29" x14ac:dyDescent="0.35">
      <c r="A146" s="2" t="s">
        <v>213</v>
      </c>
      <c r="B146" s="2">
        <v>30</v>
      </c>
      <c r="C146" s="2" t="s">
        <v>38</v>
      </c>
      <c r="D146" s="2" t="s">
        <v>27</v>
      </c>
      <c r="E146" s="2" t="s">
        <v>28</v>
      </c>
      <c r="F146" s="2" t="s">
        <v>42</v>
      </c>
      <c r="G146" s="2">
        <v>2018</v>
      </c>
      <c r="H146" s="4">
        <v>43305</v>
      </c>
      <c r="I146" s="4">
        <v>43724</v>
      </c>
      <c r="J146" s="6">
        <v>44</v>
      </c>
      <c r="K146" s="6">
        <v>57</v>
      </c>
      <c r="L146" s="6">
        <v>44</v>
      </c>
      <c r="M146" s="6">
        <v>35</v>
      </c>
      <c r="N146" s="7">
        <v>269.2</v>
      </c>
      <c r="O146" s="7">
        <v>196.2</v>
      </c>
      <c r="P146" s="8">
        <v>0.124</v>
      </c>
      <c r="Q146" s="8">
        <v>0.1022</v>
      </c>
      <c r="R146" s="9">
        <v>3.3374999999999999</v>
      </c>
      <c r="S146" s="9">
        <v>4.8051000000000004</v>
      </c>
      <c r="T146" s="9">
        <v>3.6448999999999998</v>
      </c>
      <c r="U146" s="9">
        <v>4.6505000000000001</v>
      </c>
      <c r="V146">
        <v>9784</v>
      </c>
      <c r="W146" s="14">
        <f t="shared" si="26"/>
        <v>1.4676000000000005</v>
      </c>
      <c r="X146" s="14">
        <f t="shared" si="27"/>
        <v>1.0056000000000003</v>
      </c>
      <c r="Y146" s="15">
        <f t="shared" si="28"/>
        <v>-2.18E-2</v>
      </c>
      <c r="Z146" s="14">
        <f t="shared" si="22"/>
        <v>196.66666666666666</v>
      </c>
      <c r="AA146" s="14">
        <f t="shared" si="23"/>
        <v>288.6280000000001</v>
      </c>
      <c r="AB146" s="14">
        <f t="shared" si="24"/>
        <v>197.76800000000006</v>
      </c>
      <c r="AC146" s="15">
        <f t="shared" si="25"/>
        <v>-4.2873333333333328</v>
      </c>
    </row>
    <row r="147" spans="1:29" x14ac:dyDescent="0.35">
      <c r="A147" s="2" t="s">
        <v>214</v>
      </c>
      <c r="B147" s="2">
        <v>27</v>
      </c>
      <c r="C147" s="2" t="s">
        <v>38</v>
      </c>
      <c r="D147" s="2" t="s">
        <v>27</v>
      </c>
      <c r="E147" s="2" t="s">
        <v>36</v>
      </c>
      <c r="F147" s="2" t="s">
        <v>42</v>
      </c>
      <c r="G147" s="2">
        <v>2018</v>
      </c>
      <c r="H147" s="4">
        <v>43291</v>
      </c>
      <c r="I147" s="4"/>
      <c r="J147" s="6">
        <v>24</v>
      </c>
      <c r="K147" s="10" t="s">
        <v>52</v>
      </c>
      <c r="L147" s="6">
        <v>24</v>
      </c>
      <c r="M147" s="10" t="s">
        <v>52</v>
      </c>
      <c r="N147" s="7">
        <v>119.2</v>
      </c>
      <c r="O147" s="10" t="s">
        <v>52</v>
      </c>
      <c r="P147" s="8">
        <v>0.1227</v>
      </c>
      <c r="Q147" s="10" t="s">
        <v>52</v>
      </c>
      <c r="R147" s="9">
        <v>6.1670999999999996</v>
      </c>
      <c r="S147" s="10" t="s">
        <v>52</v>
      </c>
      <c r="T147" s="9">
        <v>4.9203999999999999</v>
      </c>
      <c r="U147" s="10" t="s">
        <v>52</v>
      </c>
      <c r="V147">
        <v>8493</v>
      </c>
      <c r="W147" s="14" t="str">
        <f t="shared" si="26"/>
        <v/>
      </c>
      <c r="X147" s="14" t="str">
        <f t="shared" si="27"/>
        <v/>
      </c>
      <c r="Y147" s="15" t="str">
        <f t="shared" si="28"/>
        <v/>
      </c>
      <c r="Z147" s="14" t="str">
        <f t="shared" si="22"/>
        <v/>
      </c>
      <c r="AA147" s="14" t="str">
        <f t="shared" si="23"/>
        <v/>
      </c>
      <c r="AB147" s="14" t="str">
        <f t="shared" si="24"/>
        <v/>
      </c>
      <c r="AC147" s="15" t="str">
        <f t="shared" si="25"/>
        <v/>
      </c>
    </row>
    <row r="148" spans="1:29" x14ac:dyDescent="0.35">
      <c r="A148" s="2" t="s">
        <v>215</v>
      </c>
      <c r="B148" s="2">
        <v>29</v>
      </c>
      <c r="C148" s="2" t="s">
        <v>61</v>
      </c>
      <c r="D148" s="2" t="s">
        <v>27</v>
      </c>
      <c r="E148" s="2" t="s">
        <v>28</v>
      </c>
      <c r="F148" s="2" t="s">
        <v>42</v>
      </c>
      <c r="G148" s="2">
        <v>2018</v>
      </c>
      <c r="H148" s="4">
        <v>43259</v>
      </c>
      <c r="I148" s="4"/>
      <c r="J148" s="6">
        <v>26</v>
      </c>
      <c r="K148" s="10" t="s">
        <v>52</v>
      </c>
      <c r="L148" s="6">
        <v>0</v>
      </c>
      <c r="M148" s="10" t="s">
        <v>52</v>
      </c>
      <c r="N148" s="7">
        <v>30.2</v>
      </c>
      <c r="O148" s="10" t="s">
        <v>52</v>
      </c>
      <c r="P148" s="8">
        <v>0.1852</v>
      </c>
      <c r="Q148" s="10" t="s">
        <v>52</v>
      </c>
      <c r="R148" s="9">
        <v>4.6957000000000004</v>
      </c>
      <c r="S148" s="10" t="s">
        <v>52</v>
      </c>
      <c r="T148" s="9">
        <v>4.79</v>
      </c>
      <c r="U148" s="10" t="s">
        <v>52</v>
      </c>
      <c r="V148">
        <v>11012</v>
      </c>
      <c r="W148" s="14" t="str">
        <f t="shared" si="26"/>
        <v/>
      </c>
      <c r="X148" s="14" t="str">
        <f t="shared" si="27"/>
        <v/>
      </c>
      <c r="Y148" s="15" t="str">
        <f t="shared" si="28"/>
        <v/>
      </c>
      <c r="Z148" s="14" t="str">
        <f t="shared" si="22"/>
        <v/>
      </c>
      <c r="AA148" s="14" t="str">
        <f t="shared" si="23"/>
        <v/>
      </c>
      <c r="AB148" s="14" t="str">
        <f t="shared" si="24"/>
        <v/>
      </c>
      <c r="AC148" s="15" t="str">
        <f t="shared" si="25"/>
        <v/>
      </c>
    </row>
    <row r="149" spans="1:29" x14ac:dyDescent="0.35">
      <c r="A149" s="2" t="s">
        <v>216</v>
      </c>
      <c r="B149" s="2">
        <v>25</v>
      </c>
      <c r="C149" s="2" t="s">
        <v>77</v>
      </c>
      <c r="D149" s="2" t="s">
        <v>27</v>
      </c>
      <c r="E149" s="2" t="s">
        <v>36</v>
      </c>
      <c r="F149" s="2" t="s">
        <v>42</v>
      </c>
      <c r="G149" s="2">
        <v>2018</v>
      </c>
      <c r="H149" s="4">
        <v>43258</v>
      </c>
      <c r="I149" s="4">
        <v>43723</v>
      </c>
      <c r="J149" s="6">
        <v>29</v>
      </c>
      <c r="K149" s="6">
        <v>42</v>
      </c>
      <c r="L149" s="6">
        <v>29</v>
      </c>
      <c r="M149" s="6">
        <v>41</v>
      </c>
      <c r="N149" s="7">
        <v>155.1</v>
      </c>
      <c r="O149" s="7">
        <v>205.1</v>
      </c>
      <c r="P149" s="8">
        <v>0.14330000000000001</v>
      </c>
      <c r="Q149" s="8">
        <v>0.1764</v>
      </c>
      <c r="R149" s="9">
        <v>3.8820000000000001</v>
      </c>
      <c r="S149" s="9">
        <v>4.1639999999999997</v>
      </c>
      <c r="T149" s="9">
        <v>4.07</v>
      </c>
      <c r="U149" s="9">
        <v>3.7338</v>
      </c>
      <c r="V149">
        <v>16511</v>
      </c>
      <c r="W149" s="14">
        <f t="shared" si="26"/>
        <v>0.28199999999999958</v>
      </c>
      <c r="X149" s="14">
        <f t="shared" si="27"/>
        <v>-0.33620000000000028</v>
      </c>
      <c r="Y149" s="15">
        <f t="shared" si="28"/>
        <v>3.3099999999999991E-2</v>
      </c>
      <c r="Z149" s="14">
        <f t="shared" si="22"/>
        <v>155.33333333333334</v>
      </c>
      <c r="AA149" s="14">
        <f t="shared" si="23"/>
        <v>43.803999999999938</v>
      </c>
      <c r="AB149" s="14">
        <f t="shared" si="24"/>
        <v>-52.22306666666671</v>
      </c>
      <c r="AC149" s="15">
        <f t="shared" si="25"/>
        <v>5.1415333333333324</v>
      </c>
    </row>
    <row r="150" spans="1:29" x14ac:dyDescent="0.35">
      <c r="A150" s="2" t="s">
        <v>217</v>
      </c>
      <c r="B150" s="2">
        <v>32</v>
      </c>
      <c r="C150" s="2" t="s">
        <v>38</v>
      </c>
      <c r="D150" s="2" t="s">
        <v>27</v>
      </c>
      <c r="E150" s="2" t="s">
        <v>28</v>
      </c>
      <c r="F150" s="2" t="s">
        <v>42</v>
      </c>
      <c r="G150" s="2">
        <v>2018</v>
      </c>
      <c r="H150" s="4">
        <v>43250</v>
      </c>
      <c r="I150" s="4"/>
      <c r="J150" s="6">
        <v>142</v>
      </c>
      <c r="K150" s="10" t="s">
        <v>52</v>
      </c>
      <c r="L150" s="6">
        <v>0</v>
      </c>
      <c r="M150" s="10" t="s">
        <v>52</v>
      </c>
      <c r="N150" s="7">
        <v>151</v>
      </c>
      <c r="O150" s="10" t="s">
        <v>52</v>
      </c>
      <c r="P150" s="8">
        <v>0.14199999999999999</v>
      </c>
      <c r="Q150" s="10" t="s">
        <v>52</v>
      </c>
      <c r="R150" s="9">
        <v>4.7085999999999997</v>
      </c>
      <c r="S150" s="10" t="s">
        <v>52</v>
      </c>
      <c r="T150" s="9">
        <v>3.8984999999999999</v>
      </c>
      <c r="U150" s="10" t="s">
        <v>52</v>
      </c>
      <c r="V150">
        <v>1345</v>
      </c>
      <c r="W150" s="14" t="str">
        <f t="shared" si="26"/>
        <v/>
      </c>
      <c r="X150" s="14" t="str">
        <f t="shared" si="27"/>
        <v/>
      </c>
      <c r="Y150" s="15" t="str">
        <f t="shared" si="28"/>
        <v/>
      </c>
      <c r="Z150" s="14" t="str">
        <f t="shared" si="22"/>
        <v/>
      </c>
      <c r="AA150" s="14" t="str">
        <f t="shared" si="23"/>
        <v/>
      </c>
      <c r="AB150" s="14" t="str">
        <f t="shared" si="24"/>
        <v/>
      </c>
      <c r="AC150" s="15" t="str">
        <f t="shared" si="25"/>
        <v/>
      </c>
    </row>
    <row r="151" spans="1:29" x14ac:dyDescent="0.35">
      <c r="A151" s="2" t="s">
        <v>218</v>
      </c>
      <c r="B151" s="2">
        <v>24</v>
      </c>
      <c r="C151" s="2" t="s">
        <v>38</v>
      </c>
      <c r="D151" s="2" t="s">
        <v>27</v>
      </c>
      <c r="E151" s="2" t="s">
        <v>28</v>
      </c>
      <c r="F151" s="2" t="s">
        <v>42</v>
      </c>
      <c r="G151" s="2">
        <v>2018</v>
      </c>
      <c r="H151" s="4">
        <v>43242</v>
      </c>
      <c r="I151" s="4">
        <v>43705</v>
      </c>
      <c r="J151" s="6">
        <v>64</v>
      </c>
      <c r="K151" s="6">
        <v>56</v>
      </c>
      <c r="L151" s="6">
        <v>0</v>
      </c>
      <c r="M151" s="6">
        <v>1</v>
      </c>
      <c r="N151" s="7">
        <v>58.1</v>
      </c>
      <c r="O151" s="7">
        <v>50.2</v>
      </c>
      <c r="P151" s="8">
        <v>0.18290000000000001</v>
      </c>
      <c r="Q151" s="8">
        <v>3.9800000000000002E-2</v>
      </c>
      <c r="R151" s="9">
        <v>3.8571</v>
      </c>
      <c r="S151" s="9">
        <v>4.4408000000000003</v>
      </c>
      <c r="T151" s="9">
        <v>4.38</v>
      </c>
      <c r="U151" s="9">
        <v>4.6003999999999996</v>
      </c>
      <c r="V151">
        <v>15264</v>
      </c>
      <c r="W151" s="14">
        <f t="shared" si="26"/>
        <v>0.58370000000000033</v>
      </c>
      <c r="X151" s="14">
        <f t="shared" si="27"/>
        <v>0.22039999999999971</v>
      </c>
      <c r="Y151" s="15">
        <f t="shared" si="28"/>
        <v>-0.1431</v>
      </c>
      <c r="Z151" s="14">
        <f t="shared" si="22"/>
        <v>50.666666666666664</v>
      </c>
      <c r="AA151" s="14">
        <f t="shared" si="23"/>
        <v>29.57413333333335</v>
      </c>
      <c r="AB151" s="14">
        <f t="shared" si="24"/>
        <v>11.166933333333319</v>
      </c>
      <c r="AC151" s="15">
        <f t="shared" si="25"/>
        <v>-7.2504</v>
      </c>
    </row>
    <row r="152" spans="1:29" x14ac:dyDescent="0.35">
      <c r="A152" s="2" t="s">
        <v>219</v>
      </c>
      <c r="B152" s="2">
        <v>25</v>
      </c>
      <c r="C152" s="2" t="s">
        <v>41</v>
      </c>
      <c r="D152" s="2" t="s">
        <v>27</v>
      </c>
      <c r="E152" s="2" t="s">
        <v>28</v>
      </c>
      <c r="F152" s="2" t="s">
        <v>42</v>
      </c>
      <c r="G152" s="2">
        <v>2018</v>
      </c>
      <c r="H152" s="4">
        <v>43215</v>
      </c>
      <c r="I152" s="4">
        <v>43737</v>
      </c>
      <c r="J152" s="6">
        <v>82</v>
      </c>
      <c r="K152" s="6">
        <v>42</v>
      </c>
      <c r="L152" s="6">
        <v>82</v>
      </c>
      <c r="M152" s="6">
        <v>41</v>
      </c>
      <c r="N152" s="7">
        <v>461.1</v>
      </c>
      <c r="O152" s="7">
        <v>213.1</v>
      </c>
      <c r="P152" s="8">
        <v>0.1447</v>
      </c>
      <c r="Q152" s="8">
        <v>0.13930000000000001</v>
      </c>
      <c r="R152" s="9">
        <v>4.0968</v>
      </c>
      <c r="S152" s="9">
        <v>4.0077999999999996</v>
      </c>
      <c r="T152" s="9">
        <v>4.3277000000000001</v>
      </c>
      <c r="U152" s="9">
        <v>4.5517000000000003</v>
      </c>
      <c r="V152">
        <v>11836</v>
      </c>
      <c r="W152" s="14">
        <f t="shared" si="26"/>
        <v>-8.9000000000000412E-2</v>
      </c>
      <c r="X152" s="14">
        <f t="shared" si="27"/>
        <v>0.2240000000000002</v>
      </c>
      <c r="Y152" s="15">
        <f t="shared" si="28"/>
        <v>-5.3999999999999881E-3</v>
      </c>
      <c r="Z152" s="14">
        <f t="shared" si="22"/>
        <v>213.33333333333334</v>
      </c>
      <c r="AA152" s="14">
        <f t="shared" si="23"/>
        <v>-18.986666666666757</v>
      </c>
      <c r="AB152" s="14">
        <f t="shared" si="24"/>
        <v>47.786666666666711</v>
      </c>
      <c r="AC152" s="15">
        <f t="shared" si="25"/>
        <v>-1.1519999999999975</v>
      </c>
    </row>
    <row r="153" spans="1:29" x14ac:dyDescent="0.35">
      <c r="A153" s="2" t="s">
        <v>220</v>
      </c>
      <c r="B153" s="2">
        <v>25</v>
      </c>
      <c r="C153" s="2" t="s">
        <v>51</v>
      </c>
      <c r="D153" s="2" t="s">
        <v>27</v>
      </c>
      <c r="E153" s="2" t="s">
        <v>28</v>
      </c>
      <c r="F153" s="2" t="s">
        <v>32</v>
      </c>
      <c r="G153" s="2">
        <v>2018</v>
      </c>
      <c r="H153" s="4">
        <v>43210</v>
      </c>
      <c r="I153" s="4">
        <v>43650</v>
      </c>
      <c r="J153" s="6">
        <v>21</v>
      </c>
      <c r="K153" s="6">
        <v>48</v>
      </c>
      <c r="L153" s="6">
        <v>21</v>
      </c>
      <c r="M153" s="6">
        <v>35</v>
      </c>
      <c r="N153" s="7">
        <v>114.1</v>
      </c>
      <c r="O153" s="7">
        <v>189</v>
      </c>
      <c r="P153" s="8">
        <v>0.17530000000000001</v>
      </c>
      <c r="Q153" s="8">
        <v>0.2319</v>
      </c>
      <c r="R153" s="9">
        <v>4.5655999999999999</v>
      </c>
      <c r="S153" s="9">
        <v>3.4285999999999999</v>
      </c>
      <c r="T153" s="9">
        <v>4.3499999999999996</v>
      </c>
      <c r="U153" s="9">
        <v>3.3954</v>
      </c>
      <c r="V153">
        <v>17186</v>
      </c>
      <c r="W153" s="14">
        <f t="shared" si="26"/>
        <v>-1.137</v>
      </c>
      <c r="X153" s="14">
        <f t="shared" si="27"/>
        <v>-0.95459999999999967</v>
      </c>
      <c r="Y153" s="15">
        <f t="shared" si="28"/>
        <v>5.6599999999999984E-2</v>
      </c>
      <c r="Z153" s="14">
        <f t="shared" si="22"/>
        <v>114.33333333333333</v>
      </c>
      <c r="AA153" s="14">
        <f t="shared" si="23"/>
        <v>-129.99699999999999</v>
      </c>
      <c r="AB153" s="14">
        <f t="shared" si="24"/>
        <v>-109.14259999999996</v>
      </c>
      <c r="AC153" s="15">
        <f t="shared" si="25"/>
        <v>6.4712666666666649</v>
      </c>
    </row>
    <row r="154" spans="1:29" x14ac:dyDescent="0.35">
      <c r="A154" s="2" t="s">
        <v>221</v>
      </c>
      <c r="B154" s="2">
        <v>29</v>
      </c>
      <c r="C154" s="2" t="s">
        <v>38</v>
      </c>
      <c r="D154" s="2" t="s">
        <v>27</v>
      </c>
      <c r="E154" s="2" t="s">
        <v>28</v>
      </c>
      <c r="F154" s="2" t="s">
        <v>222</v>
      </c>
      <c r="G154" s="2">
        <v>2018</v>
      </c>
      <c r="H154" s="4">
        <v>43207</v>
      </c>
      <c r="I154" s="4">
        <v>43677</v>
      </c>
      <c r="J154" s="6">
        <v>117</v>
      </c>
      <c r="K154" s="6">
        <v>5</v>
      </c>
      <c r="L154" s="6">
        <v>24</v>
      </c>
      <c r="M154" s="6">
        <v>0</v>
      </c>
      <c r="N154" s="7">
        <v>249.2</v>
      </c>
      <c r="O154" s="7">
        <v>8</v>
      </c>
      <c r="P154" s="8">
        <v>9.2399999999999996E-2</v>
      </c>
      <c r="Q154" s="8">
        <v>8.8200000000000001E-2</v>
      </c>
      <c r="R154" s="9">
        <v>4.3258000000000001</v>
      </c>
      <c r="S154" s="9">
        <v>4.5</v>
      </c>
      <c r="T154" s="9">
        <v>4.7043999999999997</v>
      </c>
      <c r="U154" s="9">
        <v>4.59</v>
      </c>
      <c r="V154">
        <v>8302</v>
      </c>
      <c r="W154" s="14">
        <f t="shared" si="26"/>
        <v>0.17419999999999991</v>
      </c>
      <c r="X154" s="14">
        <f t="shared" si="27"/>
        <v>-0.11439999999999984</v>
      </c>
      <c r="Y154" s="15">
        <f t="shared" si="28"/>
        <v>-4.1999999999999954E-3</v>
      </c>
      <c r="Z154" s="14">
        <f t="shared" si="22"/>
        <v>8</v>
      </c>
      <c r="AA154" s="14">
        <f t="shared" si="23"/>
        <v>1.3935999999999993</v>
      </c>
      <c r="AB154" s="14">
        <f t="shared" si="24"/>
        <v>-0.91519999999999868</v>
      </c>
      <c r="AC154" s="15">
        <f t="shared" si="25"/>
        <v>-3.3599999999999963E-2</v>
      </c>
    </row>
    <row r="155" spans="1:29" x14ac:dyDescent="0.35">
      <c r="A155" s="2" t="s">
        <v>223</v>
      </c>
      <c r="B155" s="2">
        <v>26</v>
      </c>
      <c r="C155" s="2" t="s">
        <v>77</v>
      </c>
      <c r="D155" s="2" t="s">
        <v>27</v>
      </c>
      <c r="E155" s="2" t="s">
        <v>28</v>
      </c>
      <c r="F155" s="2" t="s">
        <v>42</v>
      </c>
      <c r="G155" s="2">
        <v>2018</v>
      </c>
      <c r="H155" s="4">
        <v>43196</v>
      </c>
      <c r="I155" s="4">
        <v>43720</v>
      </c>
      <c r="J155" s="6">
        <v>19</v>
      </c>
      <c r="K155" s="6">
        <v>12</v>
      </c>
      <c r="L155" s="6">
        <v>0</v>
      </c>
      <c r="M155" s="6">
        <v>0</v>
      </c>
      <c r="N155" s="7">
        <v>18</v>
      </c>
      <c r="O155" s="7">
        <v>13.1</v>
      </c>
      <c r="P155" s="8">
        <v>6.0199999999999997E-2</v>
      </c>
      <c r="Q155" s="8">
        <v>0.18179999999999999</v>
      </c>
      <c r="R155" s="9">
        <v>3</v>
      </c>
      <c r="S155" s="9">
        <v>2.0249999999999999</v>
      </c>
      <c r="T155" s="9">
        <v>5.6528</v>
      </c>
      <c r="U155" s="9">
        <v>5.452</v>
      </c>
      <c r="V155">
        <v>15100</v>
      </c>
      <c r="W155" s="14">
        <f t="shared" si="26"/>
        <v>-0.97500000000000009</v>
      </c>
      <c r="X155" s="14">
        <f t="shared" si="27"/>
        <v>-0.20080000000000009</v>
      </c>
      <c r="Y155" s="15">
        <f t="shared" si="28"/>
        <v>0.12159999999999999</v>
      </c>
      <c r="Z155" s="14">
        <f t="shared" si="22"/>
        <v>13.333333333333334</v>
      </c>
      <c r="AA155" s="14">
        <f t="shared" si="23"/>
        <v>-13.000000000000002</v>
      </c>
      <c r="AB155" s="14">
        <f t="shared" si="24"/>
        <v>-2.6773333333333347</v>
      </c>
      <c r="AC155" s="15">
        <f t="shared" si="25"/>
        <v>1.6213333333333333</v>
      </c>
    </row>
    <row r="156" spans="1:29" x14ac:dyDescent="0.35">
      <c r="A156" s="2" t="s">
        <v>224</v>
      </c>
      <c r="B156" s="2">
        <v>27</v>
      </c>
      <c r="C156" s="2" t="s">
        <v>114</v>
      </c>
      <c r="D156" s="2" t="s">
        <v>27</v>
      </c>
      <c r="E156" s="2" t="s">
        <v>28</v>
      </c>
      <c r="F156" s="2" t="s">
        <v>32</v>
      </c>
      <c r="G156" s="2">
        <v>2018</v>
      </c>
      <c r="H156" s="4">
        <v>43186</v>
      </c>
      <c r="I156" s="4">
        <v>43669</v>
      </c>
      <c r="J156" s="6">
        <v>48</v>
      </c>
      <c r="K156" s="6">
        <v>83</v>
      </c>
      <c r="L156" s="6">
        <v>22</v>
      </c>
      <c r="M156" s="6">
        <v>0</v>
      </c>
      <c r="N156" s="7">
        <v>148</v>
      </c>
      <c r="O156" s="7">
        <v>96</v>
      </c>
      <c r="P156" s="8">
        <v>8.5599999999999996E-2</v>
      </c>
      <c r="Q156" s="8">
        <v>0.16339999999999999</v>
      </c>
      <c r="R156" s="9">
        <v>5.7770000000000001</v>
      </c>
      <c r="S156" s="9">
        <v>4.7812000000000001</v>
      </c>
      <c r="T156" s="9">
        <v>4.4596999999999998</v>
      </c>
      <c r="U156" s="9">
        <v>3.8214999999999999</v>
      </c>
      <c r="V156">
        <v>12760</v>
      </c>
      <c r="W156" s="14">
        <f t="shared" si="26"/>
        <v>-0.99580000000000002</v>
      </c>
      <c r="X156" s="14">
        <f t="shared" si="27"/>
        <v>-0.63819999999999988</v>
      </c>
      <c r="Y156" s="15">
        <f t="shared" si="28"/>
        <v>7.7799999999999994E-2</v>
      </c>
      <c r="Z156" s="14">
        <f t="shared" si="22"/>
        <v>96</v>
      </c>
      <c r="AA156" s="14">
        <f t="shared" si="23"/>
        <v>-95.596800000000002</v>
      </c>
      <c r="AB156" s="14">
        <f t="shared" si="24"/>
        <v>-61.267199999999988</v>
      </c>
      <c r="AC156" s="15">
        <f t="shared" si="25"/>
        <v>7.4687999999999999</v>
      </c>
    </row>
    <row r="157" spans="1:29" x14ac:dyDescent="0.35">
      <c r="A157" s="2" t="s">
        <v>225</v>
      </c>
      <c r="B157" s="2">
        <v>31</v>
      </c>
      <c r="C157" s="2" t="s">
        <v>64</v>
      </c>
      <c r="D157" s="2" t="s">
        <v>27</v>
      </c>
      <c r="E157" s="2" t="s">
        <v>28</v>
      </c>
      <c r="F157" s="2" t="s">
        <v>42</v>
      </c>
      <c r="G157" s="2">
        <v>2018</v>
      </c>
      <c r="H157" s="4">
        <v>43185</v>
      </c>
      <c r="I157" s="4">
        <v>43633</v>
      </c>
      <c r="J157" s="6">
        <v>141</v>
      </c>
      <c r="K157" s="6">
        <v>74</v>
      </c>
      <c r="L157" s="6">
        <v>24</v>
      </c>
      <c r="M157" s="6">
        <v>2</v>
      </c>
      <c r="N157" s="7">
        <v>254.1</v>
      </c>
      <c r="O157" s="7">
        <v>65.099999999999994</v>
      </c>
      <c r="P157" s="8">
        <v>0.14549999999999999</v>
      </c>
      <c r="Q157" s="8">
        <v>0.2044</v>
      </c>
      <c r="R157" s="9">
        <v>3.5032999999999999</v>
      </c>
      <c r="S157" s="9">
        <v>3.9948999999999999</v>
      </c>
      <c r="T157" s="9">
        <v>3.5057999999999998</v>
      </c>
      <c r="U157" s="9">
        <v>4.4092000000000002</v>
      </c>
      <c r="V157">
        <v>6316</v>
      </c>
      <c r="W157" s="14">
        <f t="shared" si="26"/>
        <v>0.49160000000000004</v>
      </c>
      <c r="X157" s="14">
        <f t="shared" si="27"/>
        <v>0.90340000000000042</v>
      </c>
      <c r="Y157" s="15">
        <f t="shared" si="28"/>
        <v>5.8900000000000008E-2</v>
      </c>
      <c r="Z157" s="14">
        <f t="shared" si="22"/>
        <v>65.333333333333329</v>
      </c>
      <c r="AA157" s="14">
        <f t="shared" si="23"/>
        <v>32.117866666666664</v>
      </c>
      <c r="AB157" s="14">
        <f t="shared" si="24"/>
        <v>59.022133333333358</v>
      </c>
      <c r="AC157" s="15">
        <f t="shared" si="25"/>
        <v>3.8481333333333336</v>
      </c>
    </row>
    <row r="158" spans="1:29" x14ac:dyDescent="0.35">
      <c r="A158" s="2" t="s">
        <v>226</v>
      </c>
      <c r="B158" s="2">
        <v>26</v>
      </c>
      <c r="C158" s="2" t="s">
        <v>94</v>
      </c>
      <c r="D158" s="2" t="s">
        <v>27</v>
      </c>
      <c r="E158" s="2" t="s">
        <v>28</v>
      </c>
      <c r="F158" s="2" t="s">
        <v>227</v>
      </c>
      <c r="G158" s="2">
        <v>2018</v>
      </c>
      <c r="H158" s="4">
        <v>43180</v>
      </c>
      <c r="I158" s="4">
        <v>44407</v>
      </c>
      <c r="J158" s="6">
        <v>29</v>
      </c>
      <c r="K158" s="6">
        <v>23</v>
      </c>
      <c r="L158" s="6">
        <v>29</v>
      </c>
      <c r="M158" s="6">
        <v>0</v>
      </c>
      <c r="N158" s="7">
        <v>158.1</v>
      </c>
      <c r="O158" s="7">
        <v>30.2</v>
      </c>
      <c r="P158" s="8">
        <v>0.1047</v>
      </c>
      <c r="Q158" s="8">
        <v>0.1095</v>
      </c>
      <c r="R158" s="9">
        <v>4.9452999999999996</v>
      </c>
      <c r="S158" s="9">
        <v>3.5217000000000001</v>
      </c>
      <c r="T158" s="9">
        <v>5.3243</v>
      </c>
      <c r="U158" s="9">
        <v>3.72</v>
      </c>
      <c r="V158">
        <v>13654</v>
      </c>
      <c r="W158" s="14">
        <f t="shared" si="26"/>
        <v>-1.4235999999999995</v>
      </c>
      <c r="X158" s="14">
        <f t="shared" si="27"/>
        <v>-1.6042999999999998</v>
      </c>
      <c r="Y158" s="15">
        <f t="shared" si="28"/>
        <v>4.7999999999999987E-3</v>
      </c>
      <c r="Z158" s="14">
        <f t="shared" si="22"/>
        <v>30.666666666666668</v>
      </c>
      <c r="AA158" s="14">
        <f t="shared" si="23"/>
        <v>-43.657066666666651</v>
      </c>
      <c r="AB158" s="14">
        <f t="shared" si="24"/>
        <v>-49.19853333333333</v>
      </c>
      <c r="AC158" s="15">
        <f t="shared" si="25"/>
        <v>0.14719999999999997</v>
      </c>
    </row>
    <row r="159" spans="1:29" x14ac:dyDescent="0.35">
      <c r="A159" s="2" t="s">
        <v>228</v>
      </c>
      <c r="B159" s="2">
        <v>28</v>
      </c>
      <c r="C159" s="2" t="s">
        <v>26</v>
      </c>
      <c r="D159" s="2" t="s">
        <v>27</v>
      </c>
      <c r="E159" s="2" t="s">
        <v>36</v>
      </c>
      <c r="F159" s="2" t="s">
        <v>42</v>
      </c>
      <c r="G159" s="2">
        <v>2018</v>
      </c>
      <c r="H159" s="4">
        <v>43101</v>
      </c>
      <c r="I159" s="4">
        <v>44037</v>
      </c>
      <c r="J159" s="6">
        <v>10</v>
      </c>
      <c r="K159" s="6">
        <v>25</v>
      </c>
      <c r="L159" s="6">
        <v>3</v>
      </c>
      <c r="M159" s="6">
        <v>0</v>
      </c>
      <c r="N159" s="7">
        <v>17.2</v>
      </c>
      <c r="O159" s="7">
        <v>21.2</v>
      </c>
      <c r="P159" s="8">
        <v>5.62E-2</v>
      </c>
      <c r="Q159" s="8">
        <v>9.7799999999999998E-2</v>
      </c>
      <c r="R159" s="9">
        <v>11.2075</v>
      </c>
      <c r="S159" s="9">
        <v>4.9846000000000004</v>
      </c>
      <c r="T159" s="9">
        <v>7.06</v>
      </c>
      <c r="U159" s="9">
        <v>3.88</v>
      </c>
      <c r="V159">
        <v>5530</v>
      </c>
      <c r="W159" s="14">
        <f t="shared" si="26"/>
        <v>-6.2228999999999992</v>
      </c>
      <c r="X159" s="14">
        <f t="shared" si="27"/>
        <v>-3.1799999999999997</v>
      </c>
      <c r="Y159" s="15">
        <f t="shared" si="28"/>
        <v>4.1599999999999998E-2</v>
      </c>
      <c r="Z159" s="14">
        <f t="shared" si="22"/>
        <v>17.666666666666668</v>
      </c>
      <c r="AA159" s="14">
        <f t="shared" si="23"/>
        <v>-109.9379</v>
      </c>
      <c r="AB159" s="14">
        <f t="shared" si="24"/>
        <v>-56.18</v>
      </c>
      <c r="AC159" s="15">
        <f t="shared" si="25"/>
        <v>0.73493333333333333</v>
      </c>
    </row>
    <row r="160" spans="1:29" x14ac:dyDescent="0.35">
      <c r="A160" s="11" t="s">
        <v>229</v>
      </c>
      <c r="W160" s="14" t="str">
        <f>IF(AND(ISNUMBER(N160),ISNUMBER(O160),ISNUMBER(P160),ISNUMBER(Q160),ISNUMBER(R160),ISNUMBER(S160),ISNUMBER(T160),ISNUMBER(U160),N160&gt;0,O160&gt;0),S160-R160,"")</f>
        <v/>
      </c>
      <c r="X160" s="14" t="str">
        <f>IF(AND(ISNUMBER(N160),ISNUMBER(O160),ISNUMBER(P160),ISNUMBER(Q160),ISNUMBER(R160),ISNUMBER(S160),ISNUMBER(T160),ISNUMBER(U160),N160&gt;0,O160&gt;0),U160-T160,"")</f>
        <v/>
      </c>
      <c r="Y160" s="15" t="str">
        <f>IF(AND(ISNUMBER(N160),ISNUMBER(O160),ISNUMBER(P160),ISNUMBER(Q160),ISNUMBER(R160),ISNUMBER(S160),ISNUMBER(T160),ISNUMBER(U160),N160&gt;0,O160&gt;0),Q160-P160,"")</f>
        <v/>
      </c>
      <c r="Z160" s="14" t="str">
        <f t="shared" si="22"/>
        <v/>
      </c>
      <c r="AA160" s="14" t="str">
        <f t="shared" si="23"/>
        <v/>
      </c>
      <c r="AB160" s="14" t="str">
        <f t="shared" si="24"/>
        <v/>
      </c>
      <c r="AC160" s="15" t="str">
        <f t="shared" si="25"/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4"/>
  <sheetViews>
    <sheetView workbookViewId="0"/>
  </sheetViews>
  <sheetFormatPr defaultRowHeight="14.5" x14ac:dyDescent="0.35"/>
  <cols>
    <col min="1" max="1" width="8" customWidth="1"/>
    <col min="2" max="2" width="28" customWidth="1"/>
    <col min="3" max="3" width="10" customWidth="1"/>
    <col min="4" max="4" width="70" customWidth="1"/>
  </cols>
  <sheetData>
    <row r="1" spans="1:4" x14ac:dyDescent="0.35">
      <c r="A1" t="s">
        <v>230</v>
      </c>
      <c r="B1" t="s">
        <v>0</v>
      </c>
      <c r="C1" t="s">
        <v>231</v>
      </c>
      <c r="D1" t="s">
        <v>232</v>
      </c>
    </row>
    <row r="2" spans="1:4" x14ac:dyDescent="0.35">
      <c r="A2">
        <v>11</v>
      </c>
      <c r="B2" t="s">
        <v>50</v>
      </c>
      <c r="C2" t="s">
        <v>233</v>
      </c>
      <c r="D2" t="s">
        <v>234</v>
      </c>
    </row>
    <row r="3" spans="1:4" x14ac:dyDescent="0.35">
      <c r="A3">
        <v>19</v>
      </c>
      <c r="B3" t="s">
        <v>69</v>
      </c>
      <c r="C3" t="s">
        <v>233</v>
      </c>
      <c r="D3" t="s">
        <v>234</v>
      </c>
    </row>
    <row r="4" spans="1:4" x14ac:dyDescent="0.35">
      <c r="A4">
        <v>21</v>
      </c>
      <c r="B4" t="s">
        <v>71</v>
      </c>
      <c r="C4" t="s">
        <v>235</v>
      </c>
      <c r="D4" t="s">
        <v>236</v>
      </c>
    </row>
    <row r="5" spans="1:4" x14ac:dyDescent="0.35">
      <c r="A5">
        <v>41</v>
      </c>
      <c r="B5" t="s">
        <v>98</v>
      </c>
      <c r="C5" t="s">
        <v>237</v>
      </c>
      <c r="D5" t="s">
        <v>238</v>
      </c>
    </row>
    <row r="6" spans="1:4" x14ac:dyDescent="0.35">
      <c r="A6">
        <v>44</v>
      </c>
      <c r="B6" t="s">
        <v>102</v>
      </c>
      <c r="C6" t="s">
        <v>233</v>
      </c>
      <c r="D6" t="s">
        <v>239</v>
      </c>
    </row>
    <row r="7" spans="1:4" x14ac:dyDescent="0.35">
      <c r="A7">
        <v>47</v>
      </c>
      <c r="B7" t="s">
        <v>106</v>
      </c>
      <c r="C7" t="s">
        <v>235</v>
      </c>
      <c r="D7" t="s">
        <v>240</v>
      </c>
    </row>
    <row r="8" spans="1:4" x14ac:dyDescent="0.35">
      <c r="A8">
        <v>55</v>
      </c>
      <c r="B8" t="s">
        <v>117</v>
      </c>
      <c r="C8" t="s">
        <v>233</v>
      </c>
      <c r="D8" t="s">
        <v>239</v>
      </c>
    </row>
    <row r="9" spans="1:4" x14ac:dyDescent="0.35">
      <c r="A9">
        <v>59</v>
      </c>
      <c r="B9" t="s">
        <v>121</v>
      </c>
      <c r="C9" t="s">
        <v>233</v>
      </c>
      <c r="D9" t="s">
        <v>241</v>
      </c>
    </row>
    <row r="10" spans="1:4" x14ac:dyDescent="0.35">
      <c r="A10">
        <v>63</v>
      </c>
      <c r="B10" t="s">
        <v>126</v>
      </c>
      <c r="C10" t="s">
        <v>233</v>
      </c>
      <c r="D10" t="s">
        <v>241</v>
      </c>
    </row>
    <row r="11" spans="1:4" x14ac:dyDescent="0.35">
      <c r="A11">
        <v>66</v>
      </c>
      <c r="B11" t="s">
        <v>130</v>
      </c>
      <c r="C11" t="s">
        <v>233</v>
      </c>
      <c r="D11" t="s">
        <v>241</v>
      </c>
    </row>
    <row r="12" spans="1:4" x14ac:dyDescent="0.35">
      <c r="A12">
        <v>72</v>
      </c>
      <c r="B12" t="s">
        <v>137</v>
      </c>
      <c r="C12" t="s">
        <v>233</v>
      </c>
      <c r="D12" t="s">
        <v>241</v>
      </c>
    </row>
    <row r="13" spans="1:4" x14ac:dyDescent="0.35">
      <c r="A13">
        <v>75</v>
      </c>
      <c r="B13" t="s">
        <v>139</v>
      </c>
      <c r="C13" t="s">
        <v>233</v>
      </c>
      <c r="D13" t="s">
        <v>241</v>
      </c>
    </row>
    <row r="14" spans="1:4" x14ac:dyDescent="0.35">
      <c r="A14">
        <v>76</v>
      </c>
      <c r="B14" t="s">
        <v>140</v>
      </c>
      <c r="C14" t="s">
        <v>233</v>
      </c>
      <c r="D14" t="s">
        <v>241</v>
      </c>
    </row>
    <row r="15" spans="1:4" x14ac:dyDescent="0.35">
      <c r="A15">
        <v>85</v>
      </c>
      <c r="B15" t="s">
        <v>150</v>
      </c>
      <c r="C15" t="s">
        <v>233</v>
      </c>
      <c r="D15" t="s">
        <v>241</v>
      </c>
    </row>
    <row r="16" spans="1:4" x14ac:dyDescent="0.35">
      <c r="A16">
        <v>89</v>
      </c>
      <c r="B16" t="s">
        <v>154</v>
      </c>
      <c r="C16" t="s">
        <v>233</v>
      </c>
      <c r="D16" t="s">
        <v>241</v>
      </c>
    </row>
    <row r="17" spans="1:4" x14ac:dyDescent="0.35">
      <c r="A17">
        <v>90</v>
      </c>
      <c r="B17" t="s">
        <v>155</v>
      </c>
      <c r="C17" t="s">
        <v>233</v>
      </c>
      <c r="D17" t="s">
        <v>241</v>
      </c>
    </row>
    <row r="18" spans="1:4" x14ac:dyDescent="0.35">
      <c r="A18">
        <v>92</v>
      </c>
      <c r="B18" t="s">
        <v>158</v>
      </c>
      <c r="C18" t="s">
        <v>237</v>
      </c>
      <c r="D18" t="s">
        <v>242</v>
      </c>
    </row>
    <row r="19" spans="1:4" x14ac:dyDescent="0.35">
      <c r="A19">
        <v>92</v>
      </c>
      <c r="B19" t="s">
        <v>158</v>
      </c>
      <c r="C19" t="s">
        <v>233</v>
      </c>
      <c r="D19" t="s">
        <v>243</v>
      </c>
    </row>
    <row r="20" spans="1:4" x14ac:dyDescent="0.35">
      <c r="A20">
        <v>94</v>
      </c>
      <c r="B20" t="s">
        <v>161</v>
      </c>
      <c r="C20" t="s">
        <v>233</v>
      </c>
      <c r="D20" t="s">
        <v>243</v>
      </c>
    </row>
    <row r="21" spans="1:4" x14ac:dyDescent="0.35">
      <c r="A21">
        <v>104</v>
      </c>
      <c r="B21" t="s">
        <v>171</v>
      </c>
      <c r="C21" t="s">
        <v>233</v>
      </c>
      <c r="D21" t="s">
        <v>243</v>
      </c>
    </row>
    <row r="22" spans="1:4" x14ac:dyDescent="0.35">
      <c r="A22">
        <v>105</v>
      </c>
      <c r="B22" t="s">
        <v>172</v>
      </c>
      <c r="C22" t="s">
        <v>237</v>
      </c>
      <c r="D22" t="s">
        <v>242</v>
      </c>
    </row>
    <row r="23" spans="1:4" x14ac:dyDescent="0.35">
      <c r="A23">
        <v>109</v>
      </c>
      <c r="B23" t="s">
        <v>176</v>
      </c>
      <c r="C23" t="s">
        <v>233</v>
      </c>
      <c r="D23" t="s">
        <v>243</v>
      </c>
    </row>
    <row r="24" spans="1:4" x14ac:dyDescent="0.35">
      <c r="A24">
        <v>120</v>
      </c>
      <c r="B24" t="s">
        <v>188</v>
      </c>
      <c r="C24" t="s">
        <v>233</v>
      </c>
      <c r="D24" t="s">
        <v>244</v>
      </c>
    </row>
    <row r="25" spans="1:4" x14ac:dyDescent="0.35">
      <c r="A25">
        <v>123</v>
      </c>
      <c r="B25" t="s">
        <v>191</v>
      </c>
      <c r="C25" t="s">
        <v>233</v>
      </c>
      <c r="D25" t="s">
        <v>244</v>
      </c>
    </row>
    <row r="26" spans="1:4" x14ac:dyDescent="0.35">
      <c r="A26">
        <v>125</v>
      </c>
      <c r="B26" t="s">
        <v>193</v>
      </c>
      <c r="C26" t="s">
        <v>233</v>
      </c>
      <c r="D26" t="s">
        <v>244</v>
      </c>
    </row>
    <row r="27" spans="1:4" x14ac:dyDescent="0.35">
      <c r="A27">
        <v>138</v>
      </c>
      <c r="B27" t="s">
        <v>206</v>
      </c>
      <c r="C27" t="s">
        <v>237</v>
      </c>
      <c r="D27" t="s">
        <v>245</v>
      </c>
    </row>
    <row r="28" spans="1:4" x14ac:dyDescent="0.35">
      <c r="A28">
        <v>138</v>
      </c>
      <c r="B28" t="s">
        <v>206</v>
      </c>
      <c r="C28" t="s">
        <v>233</v>
      </c>
      <c r="D28" t="s">
        <v>238</v>
      </c>
    </row>
    <row r="29" spans="1:4" x14ac:dyDescent="0.35">
      <c r="A29">
        <v>139</v>
      </c>
      <c r="B29" t="s">
        <v>37</v>
      </c>
      <c r="C29" t="s">
        <v>237</v>
      </c>
      <c r="D29" t="s">
        <v>245</v>
      </c>
    </row>
    <row r="30" spans="1:4" x14ac:dyDescent="0.35">
      <c r="A30">
        <v>141</v>
      </c>
      <c r="B30" t="s">
        <v>208</v>
      </c>
      <c r="C30" t="s">
        <v>237</v>
      </c>
      <c r="D30" t="s">
        <v>245</v>
      </c>
    </row>
    <row r="31" spans="1:4" x14ac:dyDescent="0.35">
      <c r="A31">
        <v>144</v>
      </c>
      <c r="B31" t="s">
        <v>211</v>
      </c>
      <c r="C31" t="s">
        <v>233</v>
      </c>
      <c r="D31" t="s">
        <v>238</v>
      </c>
    </row>
    <row r="32" spans="1:4" x14ac:dyDescent="0.35">
      <c r="A32">
        <v>147</v>
      </c>
      <c r="B32" t="s">
        <v>214</v>
      </c>
      <c r="C32" t="s">
        <v>233</v>
      </c>
      <c r="D32" t="s">
        <v>238</v>
      </c>
    </row>
    <row r="33" spans="1:4" x14ac:dyDescent="0.35">
      <c r="A33">
        <v>148</v>
      </c>
      <c r="B33" t="s">
        <v>215</v>
      </c>
      <c r="C33" t="s">
        <v>233</v>
      </c>
      <c r="D33" t="s">
        <v>238</v>
      </c>
    </row>
    <row r="34" spans="1:4" x14ac:dyDescent="0.35">
      <c r="A34">
        <v>150</v>
      </c>
      <c r="B34" t="s">
        <v>217</v>
      </c>
      <c r="C34" t="s">
        <v>233</v>
      </c>
      <c r="D34" t="s">
        <v>238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1"/>
  <sheetViews>
    <sheetView tabSelected="1" workbookViewId="0"/>
  </sheetViews>
  <sheetFormatPr defaultRowHeight="14.5" x14ac:dyDescent="0.35"/>
  <cols>
    <col min="1" max="1" width="27" customWidth="1"/>
    <col min="2" max="3" width="36" customWidth="1"/>
    <col min="4" max="4" width="34" customWidth="1"/>
  </cols>
  <sheetData>
    <row r="1" spans="1:4" ht="20" customHeight="1" x14ac:dyDescent="0.35">
      <c r="A1" s="13" t="s">
        <v>250</v>
      </c>
      <c r="B1" s="13" t="s">
        <v>251</v>
      </c>
      <c r="C1" s="13" t="s">
        <v>252</v>
      </c>
      <c r="D1" s="13" t="s">
        <v>253</v>
      </c>
    </row>
    <row r="2" spans="1:4" x14ac:dyDescent="0.35">
      <c r="A2" t="s">
        <v>254</v>
      </c>
      <c r="B2" s="14">
        <f>AVERAGE('MLB Pitchers 2018-2023 TJ'!W2:W160)</f>
        <v>0.6639283464566933</v>
      </c>
      <c r="C2" s="14">
        <f>SUM('MLB Pitchers 2018-2023 TJ'!AA2:AA160)/SUM('MLB Pitchers 2018-2023 TJ'!Z2:Z160)</f>
        <v>0.31907945293202822</v>
      </c>
      <c r="D2" t="s">
        <v>255</v>
      </c>
    </row>
    <row r="3" spans="1:4" x14ac:dyDescent="0.35">
      <c r="A3" t="s">
        <v>256</v>
      </c>
      <c r="B3" s="14">
        <f>AVERAGE('MLB Pitchers 2018-2023 TJ'!X2:X160)</f>
        <v>0.54002519685039396</v>
      </c>
      <c r="C3" s="14">
        <f>SUM('MLB Pitchers 2018-2023 TJ'!AB2:AB160)/SUM('MLB Pitchers 2018-2023 TJ'!Z2:Z160)</f>
        <v>0.37415863446467224</v>
      </c>
      <c r="D3" t="s">
        <v>255</v>
      </c>
    </row>
    <row r="4" spans="1:4" x14ac:dyDescent="0.35">
      <c r="A4" t="s">
        <v>257</v>
      </c>
      <c r="B4" s="15">
        <f>AVERAGE('MLB Pitchers 2018-2023 TJ'!Y2:Y160)</f>
        <v>-3.0917322834645676E-2</v>
      </c>
      <c r="C4" s="15">
        <f>SUM('MLB Pitchers 2018-2023 TJ'!AC2:AC160)/SUM('MLB Pitchers 2018-2023 TJ'!Z2:Z160)</f>
        <v>-3.294947092367273E-2</v>
      </c>
      <c r="D4" t="s">
        <v>258</v>
      </c>
    </row>
    <row r="6" spans="1:4" x14ac:dyDescent="0.35">
      <c r="A6" t="s">
        <v>259</v>
      </c>
      <c r="B6" t="s">
        <v>260</v>
      </c>
    </row>
    <row r="7" spans="1:4" x14ac:dyDescent="0.35">
      <c r="A7" t="s">
        <v>261</v>
      </c>
      <c r="B7" t="s">
        <v>262</v>
      </c>
    </row>
    <row r="8" spans="1:4" x14ac:dyDescent="0.35">
      <c r="A8" t="s">
        <v>263</v>
      </c>
      <c r="B8" t="s">
        <v>264</v>
      </c>
    </row>
    <row r="9" spans="1:4" x14ac:dyDescent="0.35">
      <c r="A9" t="s">
        <v>265</v>
      </c>
      <c r="B9" t="s">
        <v>266</v>
      </c>
    </row>
    <row r="11" spans="1:4" x14ac:dyDescent="0.35">
      <c r="A11" t="s">
        <v>267</v>
      </c>
      <c r="B11">
        <f>COUNT('MLB Pitchers 2018-2023 TJ'!Z2:Z160)</f>
        <v>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MLB Pitchers 2018-2023 TJ</vt:lpstr>
      <vt:lpstr>Unmatched - Check Manually</vt:lpstr>
      <vt:lpstr>Innings-Weighted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garrett jones</cp:lastModifiedBy>
  <dcterms:modified xsi:type="dcterms:W3CDTF">2026-10-26T19:37:02Z</dcterms:modified>
</cp:coreProperties>
</file>